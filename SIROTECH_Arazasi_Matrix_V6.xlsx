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⚙️ BEÁLLÍTÁSOK" sheetId="1" state="visible" r:id="rId3"/>
    <sheet name="📋 ÁRAZÁSI MÁTRIX" sheetId="2" state="visible" r:id="rId4"/>
    <sheet name="🤝 ALVÁLLALKOZÓI DÍJAK" sheetId="3" state="visible" r:id="rId5"/>
    <sheet name="📅 SZERZ. SÁVOK" sheetId="4" state="visible" r:id="rId6"/>
    <sheet name="🧮 KALKULÁ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<sst xmlns="http://schemas.openxmlformats.org/spreadsheetml/2006/main" count="864" uniqueCount="515">
  <si>
    <t xml:space="preserve">⚙️  SIROTECH – BEÁLLÍTÁSOK  |  Kék cellák szabadon módosíthatók</t>
  </si>
  <si>
    <t xml:space="preserve">Minden ár nettó Ft. Az összes lap innen számol – csak itt kell módosítani.</t>
  </si>
  <si>
    <t xml:space="preserve">REZSI ÉS OVERHEAD KALKULÁCIÓ  (bérköltség + fix rezsi fedezete)</t>
  </si>
  <si>
    <t xml:space="preserve">Az overhead szorzó azt fejezi ki, hogy a ténylegesen helyszínen dolgozó
órákra mekkora fedezetet kell termelni a háttérben dolgozók bérére és a
cég fix költségeire. Pl. 1,45 = 45% rezsi a munkadíjra rakva.</t>
  </si>
  <si>
    <t xml:space="preserve">Overhead / rezsi szorzó (alapértelmezett)</t>
  </si>
  <si>
    <t xml:space="preserve">pl. 1,45 = 45% rezsi felár a termelő munkára</t>
  </si>
  <si>
    <t xml:space="preserve">Fix havi rezsiköltség (Ft) – tájékoztató</t>
  </si>
  <si>
    <t xml:space="preserve">bérek + iroda + szoftverek + járművek</t>
  </si>
  <si>
    <t xml:space="preserve">Havi termelő munkaórák száma (cégszinten)</t>
  </si>
  <si>
    <t xml:space="preserve">termelő munka összesen / hó</t>
  </si>
  <si>
    <t xml:space="preserve">Számított rezsi / óra</t>
  </si>
  <si>
    <t xml:space="preserve">fix rezsi / termelő óra (tájékoztató)</t>
  </si>
  <si>
    <t xml:space="preserve">BELSŐ ÓRADÍJAK – HELYSZÍNEN DOLGOZÓ MUNKAVÁLLALÓI COST (Ft/óra)</t>
  </si>
  <si>
    <t xml:space="preserve">Ez a tényleges bérköltség + járulékok / óra. Soha nem kommunikálod kifelé. Az ajánlati ár = belső óradíj × overhead × ügyfél szorzó.</t>
  </si>
  <si>
    <t xml:space="preserve">IT – üzemeltetés, hálózat, helpdesk</t>
  </si>
  <si>
    <t xml:space="preserve">munkavállalói bérköltség/óra</t>
  </si>
  <si>
    <t xml:space="preserve">IT – szoftver, fejlesztés, architektúra</t>
  </si>
  <si>
    <t xml:space="preserve">Biztonságtechnika – szerelő</t>
  </si>
  <si>
    <t xml:space="preserve">Biztonságtechnika – tervező, PM</t>
  </si>
  <si>
    <t xml:space="preserve">Tűzvédelem – szerelő</t>
  </si>
  <si>
    <t xml:space="preserve">Tűzvédelem – tervező, dokumentáló</t>
  </si>
  <si>
    <t xml:space="preserve">Villanyszerelő – általános</t>
  </si>
  <si>
    <t xml:space="preserve">Villanyszerelő – ipari / EV töltő</t>
  </si>
  <si>
    <t xml:space="preserve">Projektmenedzsment, koordináció</t>
  </si>
  <si>
    <t xml:space="preserve">Tanácsadás, audit, tréning</t>
  </si>
  <si>
    <t xml:space="preserve">KALKULÁLT AJÁNLATI ÓRADÍJAK (belső cost × overhead szorzó)  →  ez az alap lista óradíj</t>
  </si>
  <si>
    <t xml:space="preserve">Ezeket használja az Árazási Mátrix és az Alvállalkozói lap kiindulópontként. Ügyfél szorzó még erre jön rá.</t>
  </si>
  <si>
    <t xml:space="preserve">← belső cost × overhead</t>
  </si>
  <si>
    <t xml:space="preserve">ÜGYFÉL KATEGÓRIA SZORZÓK  (az alap kalkulált listaárra kerül rá)</t>
  </si>
  <si>
    <t xml:space="preserve">A kalkulált óradíj × ügyfél szorzó = végleges ajánlati ár. Az 1 éves KKV a referenciapont (×1,00).</t>
  </si>
  <si>
    <t xml:space="preserve">Magánszemély (B2C)</t>
  </si>
  <si>
    <t xml:space="preserve">alap listaár</t>
  </si>
  <si>
    <t xml:space="preserve">KKV – eseti, nincs keretszerz.</t>
  </si>
  <si>
    <t xml:space="preserve">rugalmassági felár a kiszámíthatatlanság miatt</t>
  </si>
  <si>
    <t xml:space="preserve">KKV – keretszerz. 6 hónap</t>
  </si>
  <si>
    <t xml:space="preserve">KKV – keretszerz. 1 év (REFERENCIA)</t>
  </si>
  <si>
    <t xml:space="preserve">← minden más ehhez képest értendő</t>
  </si>
  <si>
    <t xml:space="preserve">KKV – keretszerz. 2 év</t>
  </si>
  <si>
    <t xml:space="preserve">Nagyvállalat / intézmény (eseti)</t>
  </si>
  <si>
    <t xml:space="preserve">hosszú döntési ciklus, admin kompenzáció</t>
  </si>
  <si>
    <t xml:space="preserve">Nagyvállalat – keretszerz. 1 év</t>
  </si>
  <si>
    <t xml:space="preserve">Alvállalkozói szerep – napibéres (bent vagyok)</t>
  </si>
  <si>
    <t xml:space="preserve">fix jelenléti díj, kapacitáslekötés kompenzálva</t>
  </si>
  <si>
    <t xml:space="preserve">Projekt megbízott / külső PM</t>
  </si>
  <si>
    <t xml:space="preserve">szellemi munka, felelősség felár</t>
  </si>
  <si>
    <t xml:space="preserve">ANYAGKÖLTSÉG KEZELÉSI PÓTLÉK  (az anyagár %-a)</t>
  </si>
  <si>
    <t xml:space="preserve">Eseti munka</t>
  </si>
  <si>
    <t xml:space="preserve">anyagköltség × pótlék = kezelési díj</t>
  </si>
  <si>
    <t xml:space="preserve">Keretszerz. ügyfél (6 hó / 1 év)</t>
  </si>
  <si>
    <t xml:space="preserve">Nagyvállalat / prémium</t>
  </si>
  <si>
    <t xml:space="preserve">Alvállalkozói munka</t>
  </si>
  <si>
    <t xml:space="preserve">SÜRGŐSSÉGI / KÜLÖNLEGES SZORZÓK  (az ajánlati áron felül)</t>
  </si>
  <si>
    <t xml:space="preserve">Soron kívüli (munkaidőn belül, aznap)</t>
  </si>
  <si>
    <t xml:space="preserve">Munkaidőn túl (este, reggel korai)</t>
  </si>
  <si>
    <t xml:space="preserve">Hétvége / ünnepnap</t>
  </si>
  <si>
    <t xml:space="preserve">Éjszakai kiszállás</t>
  </si>
  <si>
    <t xml:space="preserve">ÁFA ÉS EGYÉB</t>
  </si>
  <si>
    <t xml:space="preserve">Magyar ÁFA kulcs</t>
  </si>
  <si>
    <t xml:space="preserve">27% – módosítható</t>
  </si>
  <si>
    <t xml:space="preserve">Minimális kiszállási díj (Ft)</t>
  </si>
  <si>
    <t xml:space="preserve">kiszállás + 1 óra minimum</t>
  </si>
  <si>
    <t xml:space="preserve">Minimális projekt díj (Ft)</t>
  </si>
  <si>
    <t xml:space="preserve">legkisebb számlázható projekt összeg</t>
  </si>
  <si>
    <t xml:space="preserve">📋  SIROTECH – TELJES ÁRAZÁSI MÁTRIX  |  Nettó Ft + 27% ÁFA  |  Anyagköltség minden esetben külön</t>
  </si>
  <si>
    <t xml:space="preserve">Kék cella = belső alap ár (módosítható) │ Zöld szöveg = automatikus formula │ Ahol 'egyedi' áll → Kalkulátor lapon számold │ Overhead beépítve a Beállítások lapon</t>
  </si>
  <si>
    <t xml:space="preserve">Szolgáltatás / Tétel</t>
  </si>
  <si>
    <t xml:space="preserve">Egység</t>
  </si>
  <si>
    <t xml:space="preserve">Belső
alap ár (Ft)</t>
  </si>
  <si>
    <t xml:space="preserve">Magán-
személy</t>
  </si>
  <si>
    <t xml:space="preserve">KKV
eseti</t>
  </si>
  <si>
    <t xml:space="preserve">KKV
6 hónap</t>
  </si>
  <si>
    <t xml:space="preserve">KKV
1 év
(ALAP)</t>
  </si>
  <si>
    <t xml:space="preserve">KKV
2 év</t>
  </si>
  <si>
    <t xml:space="preserve">Nagyvállalat
/ int.</t>
  </si>
  <si>
    <t xml:space="preserve">Megjegyzés</t>
  </si>
  <si>
    <t xml:space="preserve">Szorzók →</t>
  </si>
  <si>
    <t xml:space="preserve">belső alap</t>
  </si>
  <si>
    <t xml:space="preserve">🖥️  IT RENDSZERÜZEMELTETÉS  –  MSP havidíjas csomagok</t>
  </si>
  <si>
    <t xml:space="preserve">Csomagban: távfelügyelet, vírusvédelem, frissítések, havi állapotjelentés, email+tel. support (munkaidőben), dedikált kapcsolattartó, dokumentált beavatkozások.</t>
  </si>
  <si>
    <t xml:space="preserve">Mikro csomag  –  1–3 munkaállomás, csak remote</t>
  </si>
  <si>
    <t xml:space="preserve">hó</t>
  </si>
  <si>
    <t xml:space="preserve">Ideális 1-3 fős irodának</t>
  </si>
  <si>
    <t xml:space="preserve">Alap csomag  –  4–8 gép, csak remote</t>
  </si>
  <si>
    <t xml:space="preserve">Kis csomag  –  9–15 gép, remote + havi 1 kiszállás</t>
  </si>
  <si>
    <t xml:space="preserve">Közép csomag  –  16–30 gép, havi 2 kiszállás</t>
  </si>
  <si>
    <t xml:space="preserve">Nagy csomag  –  30+ gép, egyedi SLA</t>
  </si>
  <si>
    <t xml:space="preserve">egyedi</t>
  </si>
  <si>
    <t xml:space="preserve">–</t>
  </si>
  <si>
    <t xml:space="preserve">Egyedi árajánlat</t>
  </si>
  <si>
    <t xml:space="preserve">Szerverszoba pótdíj (havidíj)</t>
  </si>
  <si>
    <t xml:space="preserve">Rack, UPS, hőmérséklet monitorozás</t>
  </si>
  <si>
    <t xml:space="preserve">Kiszállási alap díj (min. egység)</t>
  </si>
  <si>
    <t xml:space="preserve">alkalom</t>
  </si>
  <si>
    <t xml:space="preserve">Kiszállás + 1 óra munkadíj</t>
  </si>
  <si>
    <t xml:space="preserve">Rendkívüli kiszállás (munkaidőn túl)</t>
  </si>
  <si>
    <t xml:space="preserve">Sürgősségi szorzó alapján</t>
  </si>
  <si>
    <t xml:space="preserve">  ▸ OPERÁCIÓS RENDSZER ÉS SZOFTVER</t>
  </si>
  <si>
    <t xml:space="preserve">  Windows frissítések kezelése és tesztelése</t>
  </si>
  <si>
    <t xml:space="preserve">gép/hó</t>
  </si>
  <si>
    <t xml:space="preserve">MSP csomagba beleszámítható</t>
  </si>
  <si>
    <t xml:space="preserve">  Windows aktiválás, licenckezelés</t>
  </si>
  <si>
    <t xml:space="preserve">db</t>
  </si>
  <si>
    <t xml:space="preserve">  Windows frissítés letiltása / ütemezése (gyárban)</t>
  </si>
  <si>
    <t xml:space="preserve">gép</t>
  </si>
  <si>
    <t xml:space="preserve">  Office telepítés és aktiválás (M365 vagy standalone)</t>
  </si>
  <si>
    <t xml:space="preserve">  M365 / Google Workspace adminisztráció</t>
  </si>
  <si>
    <t xml:space="preserve">óra</t>
  </si>
  <si>
    <t xml:space="preserve">→ IT óradíj alapján (Kalkulátor)</t>
  </si>
  <si>
    <t xml:space="preserve">  Meghajtók, jogosultságok, mappastruktúra kialakítása</t>
  </si>
  <si>
    <t xml:space="preserve">projekt</t>
  </si>
  <si>
    <t xml:space="preserve">  Felhasználói fiókok kezelése (létrehozás/törlés/jelszó)</t>
  </si>
  <si>
    <t xml:space="preserve">  Szoftver telepítés / eltávolítás</t>
  </si>
  <si>
    <t xml:space="preserve">  Nyomtatók hálózati megosztása, konfigurálása</t>
  </si>
  <si>
    <t xml:space="preserve">  E-mail konfiguráció (Outlook, Thunderbird, mobilon)</t>
  </si>
  <si>
    <t xml:space="preserve">fiók</t>
  </si>
  <si>
    <t xml:space="preserve">  Startup optimalizálás (lassú boot)</t>
  </si>
  <si>
    <t xml:space="preserve">  Lemez tisztítás, SSD optimalizálás</t>
  </si>
  <si>
    <t xml:space="preserve">  ▸ BIZTONSÁG ÉS VÉDELEM</t>
  </si>
  <si>
    <t xml:space="preserve">  Vírusvédelem telepítés és konfiguráció</t>
  </si>
  <si>
    <t xml:space="preserve">  Szoftvertűzfal konfiguráció, szabályok</t>
  </si>
  <si>
    <t xml:space="preserve">rendszer</t>
  </si>
  <si>
    <t xml:space="preserve">  BitLocker / meghajtótitkosítás beállítása</t>
  </si>
  <si>
    <t xml:space="preserve">  Jelszókezelő bevezetése (céges szinten)</t>
  </si>
  <si>
    <t xml:space="preserve">  Kétlépéses hitelesítés (2FA) beállítása</t>
  </si>
  <si>
    <t xml:space="preserve">  Adatmentés (backup) konfiguráció és tesztelés</t>
  </si>
  <si>
    <t xml:space="preserve">  Incidens kezelés, fertőzés utáni helyreállítás</t>
  </si>
  <si>
    <t xml:space="preserve">→ IT óradíj × sürgősségi szorzó</t>
  </si>
  <si>
    <t xml:space="preserve">  ▸ SZERVER ÉS INFRASTRUKTÚRA – pótdíjak (havi)</t>
  </si>
  <si>
    <t xml:space="preserve">  Szerver felügyelet (rack / tower)</t>
  </si>
  <si>
    <t xml:space="preserve">db/hó</t>
  </si>
  <si>
    <t xml:space="preserve">  NAS felügyelet</t>
  </si>
  <si>
    <t xml:space="preserve">  Tűzfal appliance felügyelet</t>
  </si>
  <si>
    <t xml:space="preserve">  Menedzselt switch felügyelet</t>
  </si>
  <si>
    <t xml:space="preserve">  UPS felügyelet, akkumulátor ellenőrzés</t>
  </si>
  <si>
    <t xml:space="preserve">  Virtualizáció (Hyper-V / VMware / Proxmox) kezelés</t>
  </si>
  <si>
    <t xml:space="preserve">→ IT fejlesztő óradíj alapján</t>
  </si>
  <si>
    <t xml:space="preserve">  Active Directory / domain kezelés</t>
  </si>
  <si>
    <t xml:space="preserve">→ IT óradíj alapján</t>
  </si>
  <si>
    <t xml:space="preserve">  DNS, DHCP szerver kezelés</t>
  </si>
  <si>
    <t xml:space="preserve">  ▸ MONITORING ÉS RIPORTÁLÁS</t>
  </si>
  <si>
    <t xml:space="preserve">  Havi állapotjelentés (PDF, dokumentált)</t>
  </si>
  <si>
    <t xml:space="preserve">MSP csomag tartalmazza</t>
  </si>
  <si>
    <t xml:space="preserve">  Valós idejű eszközmonitoring (RMM)</t>
  </si>
  <si>
    <t xml:space="preserve">  Rendelkezésre állás riport (uptime)</t>
  </si>
  <si>
    <t xml:space="preserve">  IT leltár, eszköznyilvántartás (éves)</t>
  </si>
  <si>
    <t xml:space="preserve">🌐  HÁLÓZATÉPÍTÉS ÉS FEJLESZTÉS  –  anyagköltség minden esetben külön</t>
  </si>
  <si>
    <t xml:space="preserve">Tervezéstől üzembe helyezésig vállalunk. Átadáskor írásos hálózati dokumentáció. Anyagkezelési pótlék: eseti +12%, keretszerz. +8%.</t>
  </si>
  <si>
    <t xml:space="preserve">Hálózati felmérés / igényfelmérés (helyszíni)</t>
  </si>
  <si>
    <t xml:space="preserve">1. konzultáció ingyenes ajánlatkérésnél</t>
  </si>
  <si>
    <t xml:space="preserve">Hálózati terv, dokumentáció készítése</t>
  </si>
  <si>
    <t xml:space="preserve">Kis irodai hálózat kiépítés  –  1–5 csatlakozási pont</t>
  </si>
  <si>
    <t xml:space="preserve">Anyag külön</t>
  </si>
  <si>
    <t xml:space="preserve">Közepes hálózat  –  6–15 csatlakozási pont</t>
  </si>
  <si>
    <t xml:space="preserve">Nagy hálózat  –  15+ pont / több épület</t>
  </si>
  <si>
    <t xml:space="preserve">Egyedi, tételes ajánlat</t>
  </si>
  <si>
    <t xml:space="preserve">  ▸ ROUTER, INTERNET, VPN</t>
  </si>
  <si>
    <t xml:space="preserve">  Router alapbeállítás (DHCP, NAT, tűzfal)</t>
  </si>
  <si>
    <t xml:space="preserve">  Router haladó konfiguráció (QoS, VLAN, port forward)</t>
  </si>
  <si>
    <t xml:space="preserve">  Kettős internet – failover / load balance</t>
  </si>
  <si>
    <t xml:space="preserve">  VPN szerver kiépítés (céges oldalon)</t>
  </si>
  <si>
    <t xml:space="preserve">  VPN kliens beállítás</t>
  </si>
  <si>
    <t xml:space="preserve">  Home office teljes IT kialakítás</t>
  </si>
  <si>
    <t xml:space="preserve">munkavállaló</t>
  </si>
  <si>
    <t xml:space="preserve">  ▸ WI-FI ÉS STRUKTURÁLT KÁBELEZÉS</t>
  </si>
  <si>
    <t xml:space="preserve">  Access point telepítés és konfiguráció</t>
  </si>
  <si>
    <t xml:space="preserve">  Mesh hálózat kiépítés (pl. Ubiquiti UniFi, 2–4 AP)</t>
  </si>
  <si>
    <t xml:space="preserve">  Vendég Wi-Fi kialakítása (elkülönített hálózat)</t>
  </si>
  <si>
    <t xml:space="preserve">  Menedzselt switch konfiguráció (VLAN, trunk, STP)</t>
  </si>
  <si>
    <t xml:space="preserve">  VLAN kialakítás (iroda / gyártás / vendég)</t>
  </si>
  <si>
    <t xml:space="preserve">  Cat5e/Cat6 kábelfektetés</t>
  </si>
  <si>
    <t xml:space="preserve">→ IT szerelő óradíj + kábel külön</t>
  </si>
  <si>
    <t xml:space="preserve">  Patch panel bekötés, portok számozása</t>
  </si>
  <si>
    <t xml:space="preserve">  ▸ IP TELEFÓNIA</t>
  </si>
  <si>
    <t xml:space="preserve">  VoIP rendszer tervezés és kiépítés</t>
  </si>
  <si>
    <t xml:space="preserve">  IP telefon konfiguráció</t>
  </si>
  <si>
    <t xml:space="preserve">  PBX telefonközpont üzemeltetés (havidíj)</t>
  </si>
  <si>
    <t xml:space="preserve">💻  WEBOLDAL ÉS RENDSZERFEJLESZTÉS</t>
  </si>
  <si>
    <t xml:space="preserve">Egyedi fejlesztés (Next.js, React, PHP) és CMS (WordPress). Az óradíjas tételek a Kalkulátor lapon számolhatók fejlesztői óradíjjal.</t>
  </si>
  <si>
    <t xml:space="preserve">  ▸ EGYEDI FEJLESZTÉS</t>
  </si>
  <si>
    <t xml:space="preserve">  Egyszerű bemutatkozó oldal  –  3–5 aloldal</t>
  </si>
  <si>
    <t xml:space="preserve">Design + fejlesztés + alapSEO</t>
  </si>
  <si>
    <t xml:space="preserve">  Összetett weboldal  –  6–15 aloldal</t>
  </si>
  <si>
    <t xml:space="preserve">  Landing page  –  kampányoldal</t>
  </si>
  <si>
    <t xml:space="preserve">  Webshop – egyedi fejlesztés</t>
  </si>
  <si>
    <t xml:space="preserve">Termékfeltöltés külön</t>
  </si>
  <si>
    <t xml:space="preserve">  Belső vállalati rendszer (ERP/CRM)</t>
  </si>
  <si>
    <t xml:space="preserve">Egyedi tárgyalás, fázisolt</t>
  </si>
  <si>
    <t xml:space="preserve">  API integráció (külső rendszerrel)</t>
  </si>
  <si>
    <t xml:space="preserve">  ▸ WORDPRESS / CMS</t>
  </si>
  <si>
    <t xml:space="preserve">  WordPress weboldal – alaptelepítés + beállítás</t>
  </si>
  <si>
    <t xml:space="preserve">  WordPress téma testreszabás</t>
  </si>
  <si>
    <t xml:space="preserve">→ fejlesztői óradíj</t>
  </si>
  <si>
    <t xml:space="preserve">  WooCommerce webshop beállítás</t>
  </si>
  <si>
    <t xml:space="preserve">  WordPress sebesség optimalizálás</t>
  </si>
  <si>
    <t xml:space="preserve">  WordPress biztonsági átvilágítás + keményítés</t>
  </si>
  <si>
    <t xml:space="preserve">  WordPress frissítés (core + bővítmény + téma)</t>
  </si>
  <si>
    <t xml:space="preserve">  WordPress fertőzés eltávolítás</t>
  </si>
  <si>
    <t xml:space="preserve">  WordPress migráció (hosting/szerver)</t>
  </si>
  <si>
    <t xml:space="preserve">  Weboldal karbantartás</t>
  </si>
  <si>
    <t xml:space="preserve">Frissítés + monitor + support</t>
  </si>
  <si>
    <t xml:space="preserve">  ▸ DOMAIN, TÁRHELY, E-MAIL</t>
  </si>
  <si>
    <t xml:space="preserve">  Domain regisztráció / megújítás</t>
  </si>
  <si>
    <t xml:space="preserve">év</t>
  </si>
  <si>
    <t xml:space="preserve">Regisztrátori díj + kezelés</t>
  </si>
  <si>
    <t xml:space="preserve">  SSL tanúsítvány telepítés</t>
  </si>
  <si>
    <t xml:space="preserve">Let's Encrypt vagy fizetős</t>
  </si>
  <si>
    <t xml:space="preserve">  Céges e-mail cím beállítás</t>
  </si>
  <si>
    <t xml:space="preserve">  Google Analytics 4 / Tag Manager telepítés</t>
  </si>
  <si>
    <t xml:space="preserve">🔧  SZERVÍZ ÉS JAVÍTÁS  –  PC, laptop, mobiltelefon, perifériák</t>
  </si>
  <si>
    <t xml:space="preserve">Alkatrész mindig külön számla, eredeti vagy minőségi utángyártott. Javítás előtt tájékoztatás. 30 napos munkadíj garancia.</t>
  </si>
  <si>
    <t xml:space="preserve">  ▸ PC ÉS LAPTOP – SZOFTVER</t>
  </si>
  <si>
    <t xml:space="preserve">  Operációs rendszer telepítés (Windows 10/11)</t>
  </si>
  <si>
    <t xml:space="preserve">  Vírusirtás, kártevő eltávolítás</t>
  </si>
  <si>
    <t xml:space="preserve">  Zsarolóvírus (ransomware) kezelés, helyreállítás</t>
  </si>
  <si>
    <t xml:space="preserve">Komplex eset</t>
  </si>
  <si>
    <t xml:space="preserve">  Rendszer gyorsítás, optimalizálás</t>
  </si>
  <si>
    <t xml:space="preserve">  Profil javítás, beállítások visszaállítása</t>
  </si>
  <si>
    <t xml:space="preserve">  ▸ PC ÉS LAPTOP – HARDVER</t>
  </si>
  <si>
    <t xml:space="preserve">  Hardver diagnosztika (teljes)</t>
  </si>
  <si>
    <t xml:space="preserve">  RAM csere / bővítés</t>
  </si>
  <si>
    <t xml:space="preserve">Alkatrész külön</t>
  </si>
  <si>
    <t xml:space="preserve">  SSD/HDD csere + adat klónozás</t>
  </si>
  <si>
    <t xml:space="preserve">  HDD/SSD biztonságos törlés (igazolással)</t>
  </si>
  <si>
    <t xml:space="preserve">  Laptop akkumulátor csere</t>
  </si>
  <si>
    <t xml:space="preserve">  Laptop kijelző csere</t>
  </si>
  <si>
    <t xml:space="preserve">  Laptop hűtő tisztítás, hőpaszta csere</t>
  </si>
  <si>
    <t xml:space="preserve">  PC összerakás, konfigurálás</t>
  </si>
  <si>
    <t xml:space="preserve">  Adat mentés / visszaállítás (sérült gépről)</t>
  </si>
  <si>
    <t xml:space="preserve">  ▸ MOBILTELEFON</t>
  </si>
  <si>
    <t xml:space="preserve">  Mobil diagnosztika</t>
  </si>
  <si>
    <t xml:space="preserve">  Képernyő csere – alap Android</t>
  </si>
  <si>
    <t xml:space="preserve">  Képernyő csere – prémium (iPhone stb.)</t>
  </si>
  <si>
    <t xml:space="preserve">  Akkumulátor csere</t>
  </si>
  <si>
    <t xml:space="preserve">  Töltőport / USB port javítás</t>
  </si>
  <si>
    <t xml:space="preserve">  Vízbe esett – szárítás, tisztítás</t>
  </si>
  <si>
    <t xml:space="preserve">  Adat mentés / átvitel (új telefonra)</t>
  </si>
  <si>
    <t xml:space="preserve">  Céges mobilok MDM rendszerbe vonása</t>
  </si>
  <si>
    <t xml:space="preserve">🔒  NIS2 TÖRVÉNYI MEGFELELÉS  –  auditáló partnerrel</t>
  </si>
  <si>
    <t xml:space="preserve">2024 óta hatályos. Gyártók, logisztika, egészségügy, IT: valószínűleg érintett! Bírság: akár 10 millió Ft.</t>
  </si>
  <si>
    <t xml:space="preserve">NIS2 érintettség vizsgálat (ingyenes konzultáció)</t>
  </si>
  <si>
    <t xml:space="preserve">INGYENES</t>
  </si>
  <si>
    <t xml:space="preserve">Lead generátor – első lépés</t>
  </si>
  <si>
    <t xml:space="preserve">NIS2 átvilágítás, gap analízis, írásos riport</t>
  </si>
  <si>
    <t xml:space="preserve">NIS2 kompatibilis IT rendszer kiépítés</t>
  </si>
  <si>
    <t xml:space="preserve">Mérettől függ</t>
  </si>
  <si>
    <t xml:space="preserve">NIS2 folyamatos megfelelés felügyelet</t>
  </si>
  <si>
    <t xml:space="preserve">Biztonsági tudatossági tréning (max 15 fő)</t>
  </si>
  <si>
    <t xml:space="preserve">Incidenskezelési terv (dokumentum)</t>
  </si>
  <si>
    <t xml:space="preserve">GDPR audit és javaslatok</t>
  </si>
  <si>
    <t xml:space="preserve">📹  BIZTONSÁGTECHNIKA  –  kamera, riasztó, beléptetés, tűzjelző</t>
  </si>
  <si>
    <t xml:space="preserve">Eszközök mindig külön számlán. Hikvision, Dahua, Paradox, DSC, Bosch, Texecom. Átadáskor dokumentáció + kezelési útmutató.</t>
  </si>
  <si>
    <t xml:space="preserve">  ▸ KAMERARENDSZER</t>
  </si>
  <si>
    <t xml:space="preserve">  Helyszíni felmérés, kamerarendszer tervezés</t>
  </si>
  <si>
    <t xml:space="preserve">1. felmérés ajánlatkérésnél ingyenes</t>
  </si>
  <si>
    <t xml:space="preserve">  IP kamera telepítése (munkadíj)</t>
  </si>
  <si>
    <t xml:space="preserve">  Analóg kamera telepítése (munkadíj)</t>
  </si>
  <si>
    <t xml:space="preserve">  NVR/DVR rögzítő telepítés és konfiguráció</t>
  </si>
  <si>
    <t xml:space="preserve">  PTZ kamera telepítés és programozás</t>
  </si>
  <si>
    <t xml:space="preserve">  Kamerarendszer bővítés (meglévő rendszerre)</t>
  </si>
  <si>
    <t xml:space="preserve">  Kamerarendszer távoli hozzáférés beállítása</t>
  </si>
  <si>
    <t xml:space="preserve">App, DDNS, port forward</t>
  </si>
  <si>
    <t xml:space="preserve">  Kábelfektetés kamerához (UTP / RG59)</t>
  </si>
  <si>
    <t xml:space="preserve">m</t>
  </si>
  <si>
    <t xml:space="preserve">Kábel külön</t>
  </si>
  <si>
    <t xml:space="preserve">  ▸ KAMERARENDSZER KARBANTARTÁS  –  rendszeregység alapú</t>
  </si>
  <si>
    <t xml:space="preserve">  A karbantartás díja a rendszer méretétől függ – kameraegységek száma alapján kerül meghatározásra.</t>
  </si>
  <si>
    <t xml:space="preserve">  Karbantartás alap  –  1–4 kamera</t>
  </si>
  <si>
    <t xml:space="preserve">Tisztítás, szoftver, rögzítő ellenőrzés</t>
  </si>
  <si>
    <t xml:space="preserve">  Karbantartás közepes  –  5–12 kamera</t>
  </si>
  <si>
    <t xml:space="preserve">  Karbantartás nagy  –  13–24 kamera</t>
  </si>
  <si>
    <t xml:space="preserve">  Karbantartás komplex  –  25+ kamera</t>
  </si>
  <si>
    <t xml:space="preserve">  Karbantartás havidíjas (folyamatos felügyelet)</t>
  </si>
  <si>
    <t xml:space="preserve">Szoftvermonitor + negyedéves helyszín</t>
  </si>
  <si>
    <t xml:space="preserve">  ▸ RIASZTÓRENDSZER</t>
  </si>
  <si>
    <t xml:space="preserve">  Riasztórendszer tervezés / helyszíni felmérés</t>
  </si>
  <si>
    <t xml:space="preserve">  Mozgásérzékelő telepítése (munkadíj)</t>
  </si>
  <si>
    <t xml:space="preserve">Eszköz külön</t>
  </si>
  <si>
    <t xml:space="preserve">  Mágneses ajtó/ablak kontakt telepítése</t>
  </si>
  <si>
    <t xml:space="preserve">  Sziréna / hangjelző telepítése</t>
  </si>
  <si>
    <t xml:space="preserve">  Riasztóközpont telepítés és programozás</t>
  </si>
  <si>
    <t xml:space="preserve">Zónák, csoportok, kódok</t>
  </si>
  <si>
    <t xml:space="preserve">  Pánikgomb telepítése és programozása</t>
  </si>
  <si>
    <t xml:space="preserve">  Riasztó távfelügyelet összekötés</t>
  </si>
  <si>
    <t xml:space="preserve">  ▸ RIASZTÓ KARBANTARTÁS / FELÜLVIZSGÁLAT  –  rendszeregység alapú</t>
  </si>
  <si>
    <t xml:space="preserve">  Kötelező éves felülvizsgálat – biztosítói elvárás. Ár az érzékelők száma alapján.</t>
  </si>
  <si>
    <t xml:space="preserve">  Riasztó felülvizsgálat  –  1–8 érzékelő</t>
  </si>
  <si>
    <t xml:space="preserve">Jegyzőkönyvvel</t>
  </si>
  <si>
    <t xml:space="preserve">  Riasztó felülvizsgálat  –  9–20 érzékelő</t>
  </si>
  <si>
    <t xml:space="preserve">  Riasztó felülvizsgálat  –  21–40 érzékelő</t>
  </si>
  <si>
    <t xml:space="preserve">  Riasztó felülvizsgálat  –  40+ érzékelő</t>
  </si>
  <si>
    <t xml:space="preserve">  Riasztó karbantartás havidíj (folyamatos)</t>
  </si>
  <si>
    <t xml:space="preserve">Távellenőrzés + éves helyszín</t>
  </si>
  <si>
    <t xml:space="preserve">  ▸ BELÉPTETŐ RENDSZER</t>
  </si>
  <si>
    <t xml:space="preserve">  Beléptető rendszer tervezés</t>
  </si>
  <si>
    <t xml:space="preserve">  RFID / kártyás beléptetőpont telepítése</t>
  </si>
  <si>
    <t xml:space="preserve">Olvasó + vezérlő, eszköz külön</t>
  </si>
  <si>
    <t xml:space="preserve">  Ujjlenyomatos / biometrikus pont telepítése</t>
  </si>
  <si>
    <t xml:space="preserve">  Beléptetési szoftver konfiguráció, jogosultságok</t>
  </si>
  <si>
    <t xml:space="preserve">🔴  TŰZJELZŐ RENDSZER  –  EN 54 / OTSZ / TvMI 5.2:2020 alapján</t>
  </si>
  <si>
    <t xml:space="preserve">Katasztrófavédelmi engedélyeztetéssel. Kötelező éves felülvizsgálat. Eszközök mindig külön számlán.</t>
  </si>
  <si>
    <t xml:space="preserve">  ▸ TŰZJELZŐ TELEPÍTÉS</t>
  </si>
  <si>
    <t xml:space="preserve">  Tűzjelző rendszer tervezés (zónatérkép, dokumentáció)</t>
  </si>
  <si>
    <t xml:space="preserve">EN 54 kompatibilis tervdok.</t>
  </si>
  <si>
    <t xml:space="preserve">  Tűzjelző központ telepítése és programozása</t>
  </si>
  <si>
    <t xml:space="preserve">Zónák, csoportok, kimentés beáll.</t>
  </si>
  <si>
    <t xml:space="preserve">  Füstérzékelő telepítése (munkadíj)</t>
  </si>
  <si>
    <t xml:space="preserve">EN 54-7, eszköz külön</t>
  </si>
  <si>
    <t xml:space="preserve">  Hőérzékelő telepítése (munkadíj)</t>
  </si>
  <si>
    <t xml:space="preserve">EN 54-5, eszköz külön</t>
  </si>
  <si>
    <t xml:space="preserve">  Kombinált füst+hő érzékelő telepítése</t>
  </si>
  <si>
    <t xml:space="preserve">  Kézi jelzésadó (nyomógomb) telepítése</t>
  </si>
  <si>
    <t xml:space="preserve">  Akusztikus/optikus jelzőeszköz telepítése</t>
  </si>
  <si>
    <t xml:space="preserve">Hangjelző + villogó</t>
  </si>
  <si>
    <t xml:space="preserve">  Tűzjelző kábelfektetés J-Y(St)Y</t>
  </si>
  <si>
    <t xml:space="preserve">  Átvételi vizsgálat, dokumentáció, KV benyújtás</t>
  </si>
  <si>
    <t xml:space="preserve">Katasztrófavédelmi átadás</t>
  </si>
  <si>
    <t xml:space="preserve">  ▸ TŰZJELZŐ ÉVES KARBANTARTÁS / FELÜLVIZSGÁLAT  –  rendszeregység alapú</t>
  </si>
  <si>
    <t xml:space="preserve">  Kötelező éves felülvizsgálat minden tűzjelző rendszernél (54/2014. BM rendelet). Ár az érzékelők száma szerint.</t>
  </si>
  <si>
    <t xml:space="preserve">  Kis rendszer karbantartás  –  1–10 érzékelő</t>
  </si>
  <si>
    <t xml:space="preserve">Tesztelés, tisztítás, jegyzőkönyv</t>
  </si>
  <si>
    <t xml:space="preserve">  Közepes rendszer  –  11–30 érzékelő</t>
  </si>
  <si>
    <t xml:space="preserve">  Nagy rendszer  –  31–60 érzékelő</t>
  </si>
  <si>
    <t xml:space="preserve">  Komplex rendszer  –  61–100 érzékelő</t>
  </si>
  <si>
    <t xml:space="preserve">  Extra nagy rendszer  –  100+ érzékelő</t>
  </si>
  <si>
    <t xml:space="preserve">Egyedi, tételes árajánlat</t>
  </si>
  <si>
    <t xml:space="preserve">  Tűzjelző karbantartás havidíj (negyedéves helyszín)</t>
  </si>
  <si>
    <t xml:space="preserve">Negyed éves kiszállás + folyamatos monitor</t>
  </si>
  <si>
    <t xml:space="preserve">  Érzékelő egységár (pótlólagos ellenőrzés)</t>
  </si>
  <si>
    <t xml:space="preserve">100+ érzékelős rendszernél tételes</t>
  </si>
  <si>
    <t xml:space="preserve">🔥  TŰZVÉDELMI TANÁCSADÁS ÉS PASSZÍV TŰZVÉDELEM</t>
  </si>
  <si>
    <t xml:space="preserve">54/2014. BM rendelet (OTSZ) alapján. Katasztrófavédelmi engedélyeztetés koordinációval.</t>
  </si>
  <si>
    <t xml:space="preserve">Tűzvédelmi szabályzat felülvizsgálata / készítése</t>
  </si>
  <si>
    <t xml:space="preserve">Tűzriadó terv készítése</t>
  </si>
  <si>
    <t xml:space="preserve">Tűzvédelmi oktatás (munkavállalóknak, max 20 fő)</t>
  </si>
  <si>
    <t xml:space="preserve">Katasztrófavédelmi engedélykérelem összeállítása</t>
  </si>
  <si>
    <t xml:space="preserve">Projekt szintű benyújtás</t>
  </si>
  <si>
    <t xml:space="preserve">Kábelátvezetés tűzgátló tömítése</t>
  </si>
  <si>
    <t xml:space="preserve">Tűzgátló anyag külön</t>
  </si>
  <si>
    <t xml:space="preserve">Vészkijárat, menekülési útvonal ellenőrzés</t>
  </si>
  <si>
    <t xml:space="preserve">Dokumentált bejárás</t>
  </si>
  <si>
    <t xml:space="preserve">Sprinkler rendszer koordináció (tervezés)</t>
  </si>
  <si>
    <t xml:space="preserve">Partnerrel, MSZ EN 12845</t>
  </si>
  <si>
    <t xml:space="preserve">Gázzal oltó rendszer tervezési koordináció</t>
  </si>
  <si>
    <t xml:space="preserve">Szerver/archívum védelem</t>
  </si>
  <si>
    <t xml:space="preserve">⚡  ÉPÜLETVILLAMOSSÁG  –  2026 nyárától teljes körű</t>
  </si>
  <si>
    <t xml:space="preserve">Előzetes konzultáció és felmérés már most is elérhető. Villanyszerelési munkák 2026 nyárától. Kábel és anyag mindig külön.</t>
  </si>
  <si>
    <t xml:space="preserve">  ▸ TERVEZÉS ÉS FELMÉRÉS</t>
  </si>
  <si>
    <t xml:space="preserve">  Villamos igényfelmérés / helyszíni konzultáció</t>
  </si>
  <si>
    <t xml:space="preserve">1. felmérés ingyenes</t>
  </si>
  <si>
    <t xml:space="preserve">  Villamos hálózat tervkészítés (E-terv)</t>
  </si>
  <si>
    <t xml:space="preserve">Engedélyköteles esetben</t>
  </si>
  <si>
    <t xml:space="preserve">  Fogyasztóhely vizsgálat, átvilágítás</t>
  </si>
  <si>
    <t xml:space="preserve">  Mérőóra bekötési dokumentáció</t>
  </si>
  <si>
    <t xml:space="preserve">ELMŰ/ÉMÁSZ benyújtáshoz</t>
  </si>
  <si>
    <t xml:space="preserve">  ▸ ÁLTALÁNOS VILLANYSZERELÉS</t>
  </si>
  <si>
    <t xml:space="preserve">  Kapcsoló / konnektor csere / bővítés</t>
  </si>
  <si>
    <t xml:space="preserve">  Kismegszakító / biztosíték csere / bővítés</t>
  </si>
  <si>
    <t xml:space="preserve">  Elosztó (tábla) bővítés, kiegészítés</t>
  </si>
  <si>
    <t xml:space="preserve">  Belső kábelfektetés (munkaóra)</t>
  </si>
  <si>
    <t xml:space="preserve">→ villanyszerelő óradíj</t>
  </si>
  <si>
    <t xml:space="preserve">  Villamos ellenőrző mérések (szigetelés, érintésvédelem)</t>
  </si>
  <si>
    <t xml:space="preserve">Mérési jegyzőkönyvvel</t>
  </si>
  <si>
    <t xml:space="preserve">  Tűzvédelmi kábel (FE180/E90) fektetés</t>
  </si>
  <si>
    <t xml:space="preserve">  ▸ EV TÖLTŐ TELEPÍTÉS</t>
  </si>
  <si>
    <t xml:space="preserve">  EV töltő helyszíni felmérés</t>
  </si>
  <si>
    <t xml:space="preserve">  EV töltő telepítés – 1 fázis 3,7 kW</t>
  </si>
  <si>
    <t xml:space="preserve">Töltő eszköz külön</t>
  </si>
  <si>
    <t xml:space="preserve">  EV töltő telepítés – 3 fázis 11/22 kW</t>
  </si>
  <si>
    <t xml:space="preserve">  EV töltő hálózati engedélyeztetés koordináció</t>
  </si>
  <si>
    <t xml:space="preserve">ELMŰ/ÉMÁSZ</t>
  </si>
  <si>
    <t xml:space="preserve">  Intelligens EV töltésmenedzsment rendszer</t>
  </si>
  <si>
    <t xml:space="preserve">App-vezérelt, terheléselosztás</t>
  </si>
  <si>
    <t xml:space="preserve">  ▸ ÉPÜLETAUTOMATIZÁLÁS</t>
  </si>
  <si>
    <t xml:space="preserve">  Intelligens kapcsoló / fényerőszabályozó telepítés</t>
  </si>
  <si>
    <t xml:space="preserve">KNX vagy Shelly alapon</t>
  </si>
  <si>
    <t xml:space="preserve">  Mozgásérzékelős / időzített világítás (zóna)</t>
  </si>
  <si>
    <t xml:space="preserve">zóna</t>
  </si>
  <si>
    <t xml:space="preserve">  ▸ IPARI VILLAMOS MUNKÁK</t>
  </si>
  <si>
    <t xml:space="preserve">  Ipari gép bekötése</t>
  </si>
  <si>
    <t xml:space="preserve">→ ipari villanyszerelő óradíj</t>
  </si>
  <si>
    <t xml:space="preserve">  Villamos ellenőrző mérések (szigetelés, ék.)</t>
  </si>
  <si>
    <t xml:space="preserve">Mérési jkv.</t>
  </si>
  <si>
    <t xml:space="preserve">  Szünetmentes tápellátás (UPS) rendszer telepítés</t>
  </si>
  <si>
    <t xml:space="preserve">📋  PROJEKT MEGBÍZOTT / MŰSZAKI FELÜGYELET</t>
  </si>
  <si>
    <t xml:space="preserve">Önálló termék – nem keverhető fizikai kivitelezéssel. Szellemi munka, koordináció, felelősség. Napidíjas vagy %-os konstrukció.</t>
  </si>
  <si>
    <t xml:space="preserve">Műszaki felügyelet (man-day, 8 óra)</t>
  </si>
  <si>
    <t xml:space="preserve">nap</t>
  </si>
  <si>
    <t xml:space="preserve">IT projekt menedzsment (man-day)</t>
  </si>
  <si>
    <t xml:space="preserve">Generálkivitelező PM (projekt érték %-a)</t>
  </si>
  <si>
    <t xml:space="preserve">%</t>
  </si>
  <si>
    <t xml:space="preserve">Projekt érték 8–15%-a, egyedi tárgyalás</t>
  </si>
  <si>
    <t xml:space="preserve">Alvállalkozói koordináció</t>
  </si>
  <si>
    <t xml:space="preserve">→ PM óradíj alapján</t>
  </si>
  <si>
    <t xml:space="preserve">Műszaki átadás-átvétel dokumentálás</t>
  </si>
  <si>
    <t xml:space="preserve">Projekt záró dokumentáció csomag</t>
  </si>
  <si>
    <t xml:space="preserve">  Minden ár nettó Ft + 27% ÁFA  │  Anyagköltség minden esetben külön  │  Overhead (rezsi) beépítve  │  Egyedi tételek a Kalkulátor lapon számolhatók</t>
  </si>
  <si>
    <t xml:space="preserve">🤝  SIROTECH – ALVÁLLALKOZÓI DÍJTÁBLÁZAT  |  Nettó Ft/óra  |  Óradíjas elszámolás főkategóriánként</t>
  </si>
  <si>
    <t xml:space="preserve">Két helyzet: (A) Napibéres jelenlét – bemegyek, ott vagyok mint egy dolgozó  │  (B) Projekt alapú – saját projekt, alvállalkozói minőségben  │  Mindkettő: óradíjas, fél/1/2 éves sávos. Rezsi és overhead beépítve.</t>
  </si>
  <si>
    <t xml:space="preserve">Kategória / Szerepkör</t>
  </si>
  <si>
    <t xml:space="preserve">Fél éves
szerz.
(Ft/óra)</t>
  </si>
  <si>
    <t xml:space="preserve">1 éves
szerz.
(Ft/óra)</t>
  </si>
  <si>
    <t xml:space="preserve">2 éves
szerz.
(Ft/óra)</t>
  </si>
  <si>
    <t xml:space="preserve">Keretszerz.
nélkül
(Ft/óra)</t>
  </si>
  <si>
    <t xml:space="preserve">Megjegyzés / Tartalom</t>
  </si>
  <si>
    <t xml:space="preserve">──────── (A) NAPIBÉRES JELENLÉT  –  Bent vagyok, mint egy dolgozó ────────</t>
  </si>
  <si>
    <t xml:space="preserve">Ez a konstrukció akkor alkalmazandó, amikor egy generálkivitelező vagy megrendelő lényegében 'kölcsönzi' a kapacitásunkat – meghatározott időre, helyszínen. Fix óradíj, havi/negyedéves elszámolás.</t>
  </si>
  <si>
    <t xml:space="preserve">🖥️  IT – Üzemeltetés, helpdesk, hálózat (helyszíni jelenlét)</t>
  </si>
  <si>
    <t xml:space="preserve">Napi jelenlét: szerver/hálózat/user support. Minimálisan 4 órás egység.</t>
  </si>
  <si>
    <t xml:space="preserve">💻  IT – Szoftver, fejlesztés, architektúra (helyszíni)</t>
  </si>
  <si>
    <t xml:space="preserve">Fejlesztési, integrációs jelenlét. Minimálisan fél nap.</t>
  </si>
  <si>
    <t xml:space="preserve">📹  Biztonságtechnika – Szerelő (helyszíni, napibéres)</t>
  </si>
  <si>
    <t xml:space="preserve">Kamera, riasztó, beléptetés, tűzjelző szerelése. Minimálisan 4 óra.</t>
  </si>
  <si>
    <t xml:space="preserve">🔴  Tűzvédelem – Szerelő / technikus (helyszíni)</t>
  </si>
  <si>
    <t xml:space="preserve">Tűzjelző, tűzgátló munkák. Minimálisan 4 óra.</t>
  </si>
  <si>
    <t xml:space="preserve">⚡  Villanyszerelő – általános (helyszíni, napibéres)</t>
  </si>
  <si>
    <t xml:space="preserve">Általános villamos munkák. Minimálisan 4 óra.</t>
  </si>
  <si>
    <t xml:space="preserve">⚡  Villanyszerelő – ipari / EV töltő (helyszíni)</t>
  </si>
  <si>
    <t xml:space="preserve">Ipari gépbekötés, EV rendszer. Minimálisan 4 óra.</t>
  </si>
  <si>
    <t xml:space="preserve">──────── (B) PROJEKT ALAPÚ ALVÁLLALKOZÓI MUNKA  –  Saját projekt, alvállalkozói minőségben ────────</t>
  </si>
  <si>
    <t xml:space="preserve">Ez a konstrukció akkor alkalmazandó, amikor SIROTECH saját projekt keretében vesz részt, de generálkivitelező alá tartozva. Fix tételes ár helyett óradíj – a tételes munkát a mátrix tartalmazza, ez az óradíjas keretegyezményhez.</t>
  </si>
  <si>
    <t xml:space="preserve">🖥️  IT – Üzemeltetés / hálózat (projekt, alváll.)</t>
  </si>
  <si>
    <t xml:space="preserve">Projekt keretek között, óradíj alapon. Minden óra dokumentált.</t>
  </si>
  <si>
    <t xml:space="preserve">💻  IT – Fejlesztés (projekt, alvállalkozói)</t>
  </si>
  <si>
    <t xml:space="preserve">📹  Biztonságtechnika – szerelő (projekt, alváll.)</t>
  </si>
  <si>
    <t xml:space="preserve">📹  Biztonságtechnika – tervező / PM (projekt)</t>
  </si>
  <si>
    <t xml:space="preserve">🔴  Tűzvédelem – szerelő (projekt, alváll.)</t>
  </si>
  <si>
    <t xml:space="preserve">🔴  Tűzvédelem – tervező (projekt, alváll.)</t>
  </si>
  <si>
    <t xml:space="preserve">⚡  Villanyszerelő (projekt, alvállalkozói)</t>
  </si>
  <si>
    <t xml:space="preserve">📋  Projektmenedzsment / koordináció (alváll.)</t>
  </si>
  <si>
    <t xml:space="preserve">Koordináció, átadás-átvétel, dokumentáció</t>
  </si>
  <si>
    <t xml:space="preserve">🎓  Tanácsadás / audit / tréning (alváll.)</t>
  </si>
  <si>
    <t xml:space="preserve">NIS2, tűzvédelem, IT bizt. tanácsadás</t>
  </si>
  <si>
    <t xml:space="preserve">ELSZÁMOLÁSI SZABÁLYOK:  │  Minimális egység: 4 óra (napibéres: egész nap)  │  Pótmunka: minden el nem tervezett feladat írásos befogadás után számolható  │  Anyag mindig külön  │  Fizetési feltétel: generálkivitelező fizetéséhez kötött (back-to-back)</t>
  </si>
  <si>
    <t xml:space="preserve">📅  SIROTECH – SZERZŐDÉSES IDŐ SÁVOK  |  MSP és havidíjas szolgáltatások  |  Nettó Ft/hó</t>
  </si>
  <si>
    <t xml:space="preserve">Az 1 éves szerz. = listaár (referencia).  Havi/eseti = +15% rugalmassági felár.  2 éves = -7% kedvezmény.  Kék cella = 1 éves alap ár (módosítható).</t>
  </si>
  <si>
    <t xml:space="preserve">Szolgáltatás</t>
  </si>
  <si>
    <t xml:space="preserve">Havi /
eseti
(Ft/hó)</t>
  </si>
  <si>
    <t xml:space="preserve">6 hónapos
szerz.
(Ft/hó)</t>
  </si>
  <si>
    <t xml:space="preserve">1 éves
szerz.
(Ft/hó)
ALAP</t>
  </si>
  <si>
    <t xml:space="preserve">2 éves
szerz.
(Ft/hó)</t>
  </si>
  <si>
    <t xml:space="preserve">Éves
megtakarítás
(2 év vs. havi)</t>
  </si>
  <si>
    <t xml:space="preserve">Felmondási feltételek</t>
  </si>
  <si>
    <t xml:space="preserve">🖥️  IT RENDSZERÜZEMELTETÉS</t>
  </si>
  <si>
    <t xml:space="preserve">Mikro csomag  –  1–3 gép, remote</t>
  </si>
  <si>
    <t xml:space="preserve">15 nap / 30 nap / 30 nap / 60 nap felmondás</t>
  </si>
  <si>
    <t xml:space="preserve">Alap csomag  –  4–8 gép, remote</t>
  </si>
  <si>
    <t xml:space="preserve">Korai felbontás: maradék 50% / 30% / 25%</t>
  </si>
  <si>
    <t xml:space="preserve">Kis csomag  –  9–15 gép, 1 kiszállás/hó</t>
  </si>
  <si>
    <t xml:space="preserve">Közép csomag  –  16–30 gép</t>
  </si>
  <si>
    <t xml:space="preserve">Szerverszoba pótdíj</t>
  </si>
  <si>
    <t xml:space="preserve">🔒  NIS2 ÉS MEGFELELŐSÉG</t>
  </si>
  <si>
    <t xml:space="preserve">Áremelési záradék 2 éves szerz.-nél (KSH inf.)</t>
  </si>
  <si>
    <t xml:space="preserve">GDPR audit folyamatos felügyelet</t>
  </si>
  <si>
    <t xml:space="preserve">📹  BIZTONSÁGTECHNIKA – KARBANTARTÁS</t>
  </si>
  <si>
    <t xml:space="preserve">Kamerarendszer folyamatos felügyelet</t>
  </si>
  <si>
    <t xml:space="preserve">Negyedéves helyszíni kiszállás</t>
  </si>
  <si>
    <t xml:space="preserve">Riasztó folyamatos karbantartás</t>
  </si>
  <si>
    <t xml:space="preserve">Tűzjelző folyamatos karbantartás + monitor</t>
  </si>
  <si>
    <t xml:space="preserve">💻  WEBOLDAL ÉS RENDSZER</t>
  </si>
  <si>
    <t xml:space="preserve">Weboldal karbantartás (frissítés + support)</t>
  </si>
  <si>
    <t xml:space="preserve">Weboldal + hosting + SSL csomag</t>
  </si>
  <si>
    <t xml:space="preserve">📋  PROJEKT MEGBÍZOTTI / PM RETAINER</t>
  </si>
  <si>
    <t xml:space="preserve">PM retainer – havi jelenlét (8 óra keret)</t>
  </si>
  <si>
    <t xml:space="preserve">Túllépés: PM óradíjon elszámolva</t>
  </si>
  <si>
    <t xml:space="preserve">PM retainer – emelt (20 óra keret)</t>
  </si>
  <si>
    <t xml:space="preserve">FELMONDÁSI FELTÉTELEK ÉS KÖTBÉR SZABÁLYOK</t>
  </si>
  <si>
    <t xml:space="preserve">Szerz. típus</t>
  </si>
  <si>
    <t xml:space="preserve">Felmondási idő</t>
  </si>
  <si>
    <t xml:space="preserve">Idő előtti felbontás</t>
  </si>
  <si>
    <t xml:space="preserve">Áremelési jog</t>
  </si>
  <si>
    <t xml:space="preserve">Indexálás</t>
  </si>
  <si>
    <t xml:space="preserve">Havi / eseti</t>
  </si>
  <si>
    <t xml:space="preserve">15 napos</t>
  </si>
  <si>
    <t xml:space="preserve">Nincs kötbér</t>
  </si>
  <si>
    <t xml:space="preserve">Nincs</t>
  </si>
  <si>
    <t xml:space="preserve">6 hónapos</t>
  </si>
  <si>
    <t xml:space="preserve">30 napos</t>
  </si>
  <si>
    <t xml:space="preserve">Maradék 50%-a kötbérként</t>
  </si>
  <si>
    <t xml:space="preserve">1 éves</t>
  </si>
  <si>
    <t xml:space="preserve">Maradék 30%-a kötbérként</t>
  </si>
  <si>
    <t xml:space="preserve">Nem automatikus</t>
  </si>
  <si>
    <t xml:space="preserve">Max 5%/év, előzetes értesítéssel</t>
  </si>
  <si>
    <t xml:space="preserve">2 éves</t>
  </si>
  <si>
    <t xml:space="preserve">60 napos</t>
  </si>
  <si>
    <t xml:space="preserve">Maradék 25%-a kötbérként + éves felülvizsgálati pont</t>
  </si>
  <si>
    <t xml:space="preserve">KSH infláció mértékéig egyoldalúan</t>
  </si>
  <si>
    <t xml:space="preserve">Kötelező 2. évre</t>
  </si>
  <si>
    <t xml:space="preserve">🧮  SIROTECH – AJÁNLAT KALKULÁTOR  |  Töltsd ki a kék cellákat → automatikus számítás</t>
  </si>
  <si>
    <t xml:space="preserve">Overhead (rezsi + háttér bérek) a Beállítások lapon van beépítve. Anyagköltséget add hozzá külön. Sürgősségi szorzót alkalmaz automatikusan.</t>
  </si>
  <si>
    <t xml:space="preserve">ÜGYFÉL ADATOK  –  Az ajánlat alapadatai</t>
  </si>
  <si>
    <t xml:space="preserve">Ügyfél neve / cégnév</t>
  </si>
  <si>
    <t xml:space="preserve">Ügyfél típusa</t>
  </si>
  <si>
    <t xml:space="preserve">KKV</t>
  </si>
  <si>
    <t xml:space="preserve">Szerz. időtartam</t>
  </si>
  <si>
    <t xml:space="preserve">1 év</t>
  </si>
  <si>
    <t xml:space="preserve">Kapcsolattartó neve</t>
  </si>
  <si>
    <t xml:space="preserve">Ajánlat dátuma</t>
  </si>
  <si>
    <t xml:space="preserve">Ajánlat érvényessége (napokban)</t>
  </si>
  <si>
    <t xml:space="preserve">ÁRKALKULÁCIÓ BEÁLLÍTÁSOK</t>
  </si>
  <si>
    <t xml:space="preserve">Ügyfél szorzó (Beállítások lapról)</t>
  </si>
  <si>
    <t xml:space="preserve">← Beállítások lap B39–B47 szorzói közül válaszd ki</t>
  </si>
  <si>
    <t xml:space="preserve">Sürgősségi szorzó (ha nem sürgős: 1,00)</t>
  </si>
  <si>
    <t xml:space="preserve">1,30 / 1,50 / 1,75 / 2,00 – lásd Beállítások lap</t>
  </si>
  <si>
    <t xml:space="preserve">TÉTELEK</t>
  </si>
  <si>
    <t xml:space="preserve">Tétel / Szolgáltatás leírása</t>
  </si>
  <si>
    <t xml:space="preserve">Menny.</t>
  </si>
  <si>
    <t xml:space="preserve">Belső
egységár (Ft)</t>
  </si>
  <si>
    <t xml:space="preserve">Szorzók
(auto)</t>
  </si>
  <si>
    <t xml:space="preserve">Ajánlati
egységár (Ft)</t>
  </si>
  <si>
    <t xml:space="preserve">Részösszeg  (munkadíj nettó)</t>
  </si>
  <si>
    <t xml:space="preserve">Anyagköltség nettó  (kézzel add meg)</t>
  </si>
  <si>
    <t xml:space="preserve">Anyagkezelési pótlék  (eseti: 12%)</t>
  </si>
  <si>
    <t xml:space="preserve">NETTÓ ÖSSZESEN</t>
  </si>
  <si>
    <t xml:space="preserve">ÁFA (27%)</t>
  </si>
  <si>
    <t xml:space="preserve">BRUTTÓ VÉGÖSSZEG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</si>
</sst>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\×"/>
    <numFmt numFmtId="166" formatCode="#,##0&quot; Ft&quot;"/>
    <numFmt numFmtId="167" formatCode="#,##0&quot; óra&quot;"/>
    <numFmt numFmtId="168" formatCode="#,##0&quot; Ft/óra&quot;"/>
    <numFmt numFmtId="169" formatCode="0%"/>
    <numFmt numFmtId="170" formatCode="#,##0&quot; Ft/hó&quot;"/>
    <numFmt numFmtId="171" formatCode="#,##0&quot; Ft/év&quot;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.5"/>
      <color rgb="FF666666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.5"/>
      <color rgb="FF999999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6400"/>
      <name val="Arial"/>
      <family val="0"/>
      <charset val="1"/>
    </font>
    <font>
      <i val="true"/>
      <sz val="9"/>
      <color rgb="FFAAAAAA"/>
      <name val="Arial"/>
      <family val="0"/>
      <charset val="1"/>
    </font>
    <font>
      <i val="true"/>
      <sz val="9"/>
      <color rgb="FFCCCCCC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b val="true"/>
      <sz val="8"/>
      <color rgb="FF009900"/>
      <name val="Arial"/>
      <family val="0"/>
      <charset val="1"/>
    </font>
    <font>
      <i val="true"/>
      <sz val="8.5"/>
      <color rgb="FFFFFF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.5"/>
      <color rgb="FF006400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sz val="9.5"/>
      <color rgb="FFE67E22"/>
      <name val="Arial"/>
      <family val="0"/>
      <charset val="1"/>
    </font>
    <font>
      <b val="true"/>
      <sz val="9"/>
      <color rgb="FF009900"/>
      <name val="Arial"/>
      <family val="0"/>
      <charset val="1"/>
    </font>
    <font>
      <i val="true"/>
      <sz val="8.5"/>
      <color rgb="FF777777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.5"/>
      <color rgb="FF88888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color rgb="FF006400"/>
      <name val="Arial"/>
      <family val="0"/>
      <charset val="1"/>
    </font>
    <font>
      <b val="true"/>
      <sz val="10.5"/>
      <color rgb="FF0000FF"/>
      <name val="Arial"/>
      <family val="0"/>
      <charset val="1"/>
    </font>
    <font>
      <sz val="10.5"/>
      <color rgb="FF0000FF"/>
      <name val="Arial"/>
      <family val="0"/>
      <charset val="1"/>
    </font>
    <font>
      <b val="true"/>
      <sz val="10.5"/>
      <color rgb="FF006400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sz val="10.5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8271A"/>
        <bgColor rgb="FF993366"/>
      </patternFill>
    </fill>
    <fill>
      <patternFill patternType="solid">
        <fgColor rgb="FFF8F8F8"/>
        <bgColor rgb="FFFAFAFA"/>
      </patternFill>
    </fill>
    <fill>
      <patternFill patternType="solid">
        <fgColor rgb="FF2C3E50"/>
        <bgColor rgb="FF003366"/>
      </patternFill>
    </fill>
    <fill>
      <patternFill patternType="solid">
        <fgColor rgb="FFF2F3F4"/>
        <bgColor rgb="FFEEEEEE"/>
      </patternFill>
    </fill>
    <fill>
      <patternFill patternType="solid">
        <fgColor rgb="FFFFF9C4"/>
        <bgColor rgb="FFFFF3CD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8F8F8"/>
      </patternFill>
    </fill>
    <fill>
      <patternFill patternType="solid">
        <fgColor rgb="FFEAFAF1"/>
        <bgColor rgb="FFF2F3F4"/>
      </patternFill>
    </fill>
    <fill>
      <patternFill patternType="solid">
        <fgColor rgb="FFEEEEEE"/>
        <bgColor rgb="FFF2F3F4"/>
      </patternFill>
    </fill>
    <fill>
      <patternFill patternType="solid">
        <fgColor rgb="FF566573"/>
        <bgColor rgb="FF666666"/>
      </patternFill>
    </fill>
    <fill>
      <patternFill patternType="solid">
        <fgColor rgb="FFFFF3CD"/>
        <bgColor rgb="FFFFF9C4"/>
      </patternFill>
    </fill>
    <fill>
      <patternFill patternType="solid">
        <fgColor rgb="FF8B1A13"/>
        <bgColor rgb="FF800000"/>
      </patternFill>
    </fill>
    <fill>
      <patternFill patternType="solid">
        <fgColor rgb="FFF5C6CB"/>
        <bgColor rgb="FFDDDDD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8271A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777777"/>
      <rgbColor rgb="FF800080"/>
      <rgbColor rgb="FF008080"/>
      <rgbColor rgb="FFCCCCCC"/>
      <rgbColor rgb="FF888888"/>
      <rgbColor rgb="FFAAAAAA"/>
      <rgbColor rgb="FF666666"/>
      <rgbColor rgb="FFFFF9C4"/>
      <rgbColor rgb="FFEAFA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EEEEEE"/>
      <rgbColor rgb="FFFFF3CD"/>
      <rgbColor rgb="FFF8F8F8"/>
      <rgbColor rgb="FFFAFAFA"/>
      <rgbColor rgb="FFCC99FF"/>
      <rgbColor rgb="FFF5C6CB"/>
      <rgbColor rgb="FF3366FF"/>
      <rgbColor rgb="FF33CCCC"/>
      <rgbColor rgb="FF99CC00"/>
      <rgbColor rgb="FFFFCC00"/>
      <rgbColor rgb="FFFF9900"/>
      <rgbColor rgb="FFE67E22"/>
      <rgbColor rgb="FF566573"/>
      <rgbColor rgb="FF999999"/>
      <rgbColor rgb="FF003366"/>
      <rgbColor rgb="FF339966"/>
      <rgbColor rgb="FF006400"/>
      <rgbColor rgb="FF333300"/>
      <rgbColor rgb="FF8B1A13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6" activePane="bottomLeft" state="frozen"/>
      <selection pane="topLeft" activeCell="A1" activeCellId="0" sqref="A1"/>
      <selection pane="bottomLeft" activeCell="B56" activeCellId="0" sqref="B5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42" hidden="false" customHeight="true" outlineLevel="0" collapsed="false">
      <c r="A5" s="4" t="s">
        <v>3</v>
      </c>
      <c r="B5" s="4"/>
      <c r="C5" s="4"/>
    </row>
    <row r="6" customFormat="false" ht="19.5" hidden="false" customHeight="true" outlineLevel="0" collapsed="false">
      <c r="A6" s="5" t="s">
        <v>4</v>
      </c>
      <c r="B6" s="6" t="n">
        <v>1.85</v>
      </c>
      <c r="C6" s="7" t="s">
        <v>5</v>
      </c>
    </row>
    <row r="7" customFormat="false" ht="19.5" hidden="false" customHeight="true" outlineLevel="0" collapsed="false">
      <c r="A7" s="8" t="s">
        <v>6</v>
      </c>
      <c r="B7" s="9" t="n">
        <v>1450000</v>
      </c>
      <c r="C7" s="10" t="s">
        <v>7</v>
      </c>
    </row>
    <row r="8" customFormat="false" ht="19.5" hidden="false" customHeight="true" outlineLevel="0" collapsed="false">
      <c r="A8" s="5" t="s">
        <v>8</v>
      </c>
      <c r="B8" s="11" t="n">
        <v>780</v>
      </c>
      <c r="C8" s="7" t="s">
        <v>9</v>
      </c>
    </row>
    <row r="9" customFormat="false" ht="19.5" hidden="false" customHeight="true" outlineLevel="0" collapsed="false">
      <c r="A9" s="8" t="s">
        <v>10</v>
      </c>
      <c r="B9" s="9" t="n">
        <f aca="false">B7/B8</f>
        <v>1858.97435897436</v>
      </c>
      <c r="C9" s="10" t="s">
        <v>11</v>
      </c>
    </row>
    <row r="11" customFormat="false" ht="19.5" hidden="false" customHeight="true" outlineLevel="0" collapsed="false">
      <c r="A11" s="3" t="s">
        <v>12</v>
      </c>
      <c r="B11" s="3"/>
      <c r="C11" s="3"/>
    </row>
    <row r="12" customFormat="false" ht="12.75" hidden="false" customHeight="true" outlineLevel="0" collapsed="false">
      <c r="A12" s="12" t="s">
        <v>13</v>
      </c>
      <c r="B12" s="12"/>
      <c r="C12" s="12"/>
    </row>
    <row r="13" customFormat="false" ht="19.5" hidden="false" customHeight="true" outlineLevel="0" collapsed="false">
      <c r="A13" s="8" t="s">
        <v>14</v>
      </c>
      <c r="B13" s="13" t="n">
        <v>6200</v>
      </c>
      <c r="C13" s="10" t="s">
        <v>15</v>
      </c>
    </row>
    <row r="14" customFormat="false" ht="19.5" hidden="false" customHeight="true" outlineLevel="0" collapsed="false">
      <c r="A14" s="5" t="s">
        <v>16</v>
      </c>
      <c r="B14" s="13" t="n">
        <v>9500</v>
      </c>
      <c r="C14" s="7"/>
    </row>
    <row r="15" customFormat="false" ht="19.5" hidden="false" customHeight="true" outlineLevel="0" collapsed="false">
      <c r="A15" s="8" t="s">
        <v>17</v>
      </c>
      <c r="B15" s="13" t="n">
        <v>6800</v>
      </c>
      <c r="C15" s="10"/>
    </row>
    <row r="16" customFormat="false" ht="19.5" hidden="false" customHeight="true" outlineLevel="0" collapsed="false">
      <c r="A16" s="5" t="s">
        <v>18</v>
      </c>
      <c r="B16" s="13" t="n">
        <v>7500</v>
      </c>
      <c r="C16" s="7"/>
    </row>
    <row r="17" customFormat="false" ht="19.5" hidden="false" customHeight="true" outlineLevel="0" collapsed="false">
      <c r="A17" s="8" t="s">
        <v>19</v>
      </c>
      <c r="B17" s="13" t="n">
        <v>6200</v>
      </c>
      <c r="C17" s="10"/>
    </row>
    <row r="18" customFormat="false" ht="19.5" hidden="false" customHeight="true" outlineLevel="0" collapsed="false">
      <c r="A18" s="5" t="s">
        <v>20</v>
      </c>
      <c r="B18" s="13" t="n">
        <v>8200</v>
      </c>
      <c r="C18" s="7"/>
    </row>
    <row r="19" customFormat="false" ht="19.5" hidden="false" customHeight="true" outlineLevel="0" collapsed="false">
      <c r="A19" s="8" t="s">
        <v>21</v>
      </c>
      <c r="B19" s="13" t="n">
        <v>6000</v>
      </c>
      <c r="C19" s="10"/>
    </row>
    <row r="20" customFormat="false" ht="19.5" hidden="false" customHeight="true" outlineLevel="0" collapsed="false">
      <c r="A20" s="5" t="s">
        <v>22</v>
      </c>
      <c r="B20" s="13" t="n">
        <v>7000</v>
      </c>
      <c r="C20" s="7"/>
    </row>
    <row r="21" customFormat="false" ht="19.5" hidden="false" customHeight="true" outlineLevel="0" collapsed="false">
      <c r="A21" s="8" t="s">
        <v>23</v>
      </c>
      <c r="B21" s="13" t="n">
        <v>8500</v>
      </c>
      <c r="C21" s="10"/>
    </row>
    <row r="22" customFormat="false" ht="19.5" hidden="false" customHeight="true" outlineLevel="0" collapsed="false">
      <c r="A22" s="5" t="s">
        <v>24</v>
      </c>
      <c r="B22" s="13" t="n">
        <v>11500</v>
      </c>
      <c r="C22" s="7"/>
    </row>
    <row r="24" customFormat="false" ht="19.5" hidden="false" customHeight="true" outlineLevel="0" collapsed="false">
      <c r="A24" s="3" t="s">
        <v>25</v>
      </c>
      <c r="B24" s="3"/>
      <c r="C24" s="3"/>
    </row>
    <row r="25" customFormat="false" ht="12.75" hidden="false" customHeight="true" outlineLevel="0" collapsed="false">
      <c r="A25" s="12" t="s">
        <v>26</v>
      </c>
      <c r="B25" s="12"/>
      <c r="C25" s="12"/>
    </row>
    <row r="26" customFormat="false" ht="19.5" hidden="false" customHeight="true" outlineLevel="0" collapsed="false">
      <c r="A26" s="5" t="s">
        <v>14</v>
      </c>
      <c r="B26" s="14" t="n">
        <f aca="false">B13*B6</f>
        <v>11470</v>
      </c>
      <c r="C26" s="7" t="s">
        <v>27</v>
      </c>
    </row>
    <row r="27" customFormat="false" ht="19.5" hidden="false" customHeight="true" outlineLevel="0" collapsed="false">
      <c r="A27" s="8" t="s">
        <v>16</v>
      </c>
      <c r="B27" s="14" t="n">
        <f aca="false">B14*B6</f>
        <v>17575</v>
      </c>
      <c r="C27" s="10" t="s">
        <v>27</v>
      </c>
    </row>
    <row r="28" customFormat="false" ht="19.5" hidden="false" customHeight="true" outlineLevel="0" collapsed="false">
      <c r="A28" s="5" t="s">
        <v>17</v>
      </c>
      <c r="B28" s="14" t="n">
        <f aca="false">B15*B6</f>
        <v>12580</v>
      </c>
      <c r="C28" s="7" t="s">
        <v>27</v>
      </c>
    </row>
    <row r="29" customFormat="false" ht="19.5" hidden="false" customHeight="true" outlineLevel="0" collapsed="false">
      <c r="A29" s="8" t="s">
        <v>18</v>
      </c>
      <c r="B29" s="14" t="n">
        <f aca="false">B16*B6</f>
        <v>13875</v>
      </c>
      <c r="C29" s="10" t="s">
        <v>27</v>
      </c>
    </row>
    <row r="30" customFormat="false" ht="19.5" hidden="false" customHeight="true" outlineLevel="0" collapsed="false">
      <c r="A30" s="5" t="s">
        <v>19</v>
      </c>
      <c r="B30" s="14" t="n">
        <f aca="false">B17*B6</f>
        <v>11470</v>
      </c>
      <c r="C30" s="7" t="s">
        <v>27</v>
      </c>
    </row>
    <row r="31" customFormat="false" ht="19.5" hidden="false" customHeight="true" outlineLevel="0" collapsed="false">
      <c r="A31" s="8" t="s">
        <v>20</v>
      </c>
      <c r="B31" s="14" t="n">
        <f aca="false">B18*B6</f>
        <v>15170</v>
      </c>
      <c r="C31" s="10" t="s">
        <v>27</v>
      </c>
    </row>
    <row r="32" customFormat="false" ht="19.5" hidden="false" customHeight="true" outlineLevel="0" collapsed="false">
      <c r="A32" s="5" t="s">
        <v>21</v>
      </c>
      <c r="B32" s="14" t="n">
        <f aca="false">B19*B6</f>
        <v>11100</v>
      </c>
      <c r="C32" s="7" t="s">
        <v>27</v>
      </c>
    </row>
    <row r="33" customFormat="false" ht="19.5" hidden="false" customHeight="true" outlineLevel="0" collapsed="false">
      <c r="A33" s="8" t="s">
        <v>22</v>
      </c>
      <c r="B33" s="14" t="n">
        <f aca="false">B20*B6</f>
        <v>12950</v>
      </c>
      <c r="C33" s="10" t="s">
        <v>27</v>
      </c>
    </row>
    <row r="34" customFormat="false" ht="19.5" hidden="false" customHeight="true" outlineLevel="0" collapsed="false">
      <c r="A34" s="5" t="s">
        <v>23</v>
      </c>
      <c r="B34" s="14" t="n">
        <f aca="false">B21*B6</f>
        <v>15725</v>
      </c>
      <c r="C34" s="7" t="s">
        <v>27</v>
      </c>
    </row>
    <row r="35" customFormat="false" ht="19.5" hidden="false" customHeight="true" outlineLevel="0" collapsed="false">
      <c r="A35" s="8" t="s">
        <v>24</v>
      </c>
      <c r="B35" s="14" t="n">
        <f aca="false">B22*B6</f>
        <v>21275</v>
      </c>
      <c r="C35" s="10" t="s">
        <v>27</v>
      </c>
    </row>
    <row r="37" customFormat="false" ht="19.5" hidden="false" customHeight="true" outlineLevel="0" collapsed="false">
      <c r="A37" s="3" t="s">
        <v>28</v>
      </c>
      <c r="B37" s="3"/>
      <c r="C37" s="3"/>
    </row>
    <row r="38" customFormat="false" ht="12.75" hidden="false" customHeight="true" outlineLevel="0" collapsed="false">
      <c r="A38" s="12" t="s">
        <v>29</v>
      </c>
      <c r="B38" s="12"/>
      <c r="C38" s="12"/>
    </row>
    <row r="39" customFormat="false" ht="19.5" hidden="false" customHeight="true" outlineLevel="0" collapsed="false">
      <c r="A39" s="8" t="s">
        <v>30</v>
      </c>
      <c r="B39" s="6" t="n">
        <v>1</v>
      </c>
      <c r="C39" s="10" t="s">
        <v>31</v>
      </c>
    </row>
    <row r="40" customFormat="false" ht="19.5" hidden="false" customHeight="true" outlineLevel="0" collapsed="false">
      <c r="A40" s="5" t="s">
        <v>32</v>
      </c>
      <c r="B40" s="6" t="n">
        <v>1.15</v>
      </c>
      <c r="C40" s="7" t="s">
        <v>33</v>
      </c>
    </row>
    <row r="41" customFormat="false" ht="19.5" hidden="false" customHeight="true" outlineLevel="0" collapsed="false">
      <c r="A41" s="8" t="s">
        <v>34</v>
      </c>
      <c r="B41" s="6" t="n">
        <v>1.08</v>
      </c>
      <c r="C41" s="10"/>
    </row>
    <row r="42" customFormat="false" ht="19.5" hidden="false" customHeight="true" outlineLevel="0" collapsed="false">
      <c r="A42" s="5" t="s">
        <v>35</v>
      </c>
      <c r="B42" s="6" t="n">
        <v>1</v>
      </c>
      <c r="C42" s="7" t="s">
        <v>36</v>
      </c>
    </row>
    <row r="43" customFormat="false" ht="19.5" hidden="false" customHeight="true" outlineLevel="0" collapsed="false">
      <c r="A43" s="8" t="s">
        <v>37</v>
      </c>
      <c r="B43" s="6" t="n">
        <v>0.93</v>
      </c>
      <c r="C43" s="10"/>
    </row>
    <row r="44" customFormat="false" ht="19.5" hidden="false" customHeight="true" outlineLevel="0" collapsed="false">
      <c r="A44" s="5" t="s">
        <v>38</v>
      </c>
      <c r="B44" s="6" t="n">
        <v>1.25</v>
      </c>
      <c r="C44" s="7" t="s">
        <v>39</v>
      </c>
    </row>
    <row r="45" customFormat="false" ht="19.5" hidden="false" customHeight="true" outlineLevel="0" collapsed="false">
      <c r="A45" s="8" t="s">
        <v>40</v>
      </c>
      <c r="B45" s="6" t="n">
        <v>1.1</v>
      </c>
      <c r="C45" s="10"/>
    </row>
    <row r="46" customFormat="false" ht="19.5" hidden="false" customHeight="true" outlineLevel="0" collapsed="false">
      <c r="A46" s="5" t="s">
        <v>41</v>
      </c>
      <c r="B46" s="6" t="n">
        <v>0.85</v>
      </c>
      <c r="C46" s="7" t="s">
        <v>42</v>
      </c>
    </row>
    <row r="47" customFormat="false" ht="19.5" hidden="false" customHeight="true" outlineLevel="0" collapsed="false">
      <c r="A47" s="8" t="s">
        <v>43</v>
      </c>
      <c r="B47" s="6" t="n">
        <v>1.15</v>
      </c>
      <c r="C47" s="10" t="s">
        <v>44</v>
      </c>
    </row>
    <row r="49" customFormat="false" ht="19.5" hidden="false" customHeight="true" outlineLevel="0" collapsed="false">
      <c r="A49" s="3" t="s">
        <v>45</v>
      </c>
      <c r="B49" s="3"/>
      <c r="C49" s="3"/>
    </row>
    <row r="50" customFormat="false" ht="19.5" hidden="false" customHeight="true" outlineLevel="0" collapsed="false">
      <c r="A50" s="5" t="s">
        <v>46</v>
      </c>
      <c r="B50" s="15" t="n">
        <v>0.2</v>
      </c>
      <c r="C50" s="7" t="s">
        <v>47</v>
      </c>
    </row>
    <row r="51" customFormat="false" ht="19.5" hidden="false" customHeight="true" outlineLevel="0" collapsed="false">
      <c r="A51" s="8" t="s">
        <v>48</v>
      </c>
      <c r="B51" s="15" t="n">
        <v>0.14</v>
      </c>
      <c r="C51" s="10" t="s">
        <v>47</v>
      </c>
    </row>
    <row r="52" customFormat="false" ht="19.5" hidden="false" customHeight="true" outlineLevel="0" collapsed="false">
      <c r="A52" s="5" t="s">
        <v>49</v>
      </c>
      <c r="B52" s="15" t="n">
        <v>0.1</v>
      </c>
      <c r="C52" s="7" t="s">
        <v>47</v>
      </c>
    </row>
    <row r="53" customFormat="false" ht="19.5" hidden="false" customHeight="true" outlineLevel="0" collapsed="false">
      <c r="A53" s="8" t="s">
        <v>50</v>
      </c>
      <c r="B53" s="15" t="n">
        <v>0.07</v>
      </c>
      <c r="C53" s="10" t="s">
        <v>47</v>
      </c>
    </row>
    <row r="55" customFormat="false" ht="19.5" hidden="false" customHeight="true" outlineLevel="0" collapsed="false">
      <c r="A55" s="3" t="s">
        <v>51</v>
      </c>
      <c r="B55" s="3"/>
      <c r="C55" s="3"/>
    </row>
    <row r="56" customFormat="false" ht="19.5" hidden="false" customHeight="true" outlineLevel="0" collapsed="false">
      <c r="A56" s="5" t="s">
        <v>52</v>
      </c>
      <c r="B56" s="6" t="n">
        <v>1.3</v>
      </c>
      <c r="C56" s="7"/>
    </row>
    <row r="57" customFormat="false" ht="19.5" hidden="false" customHeight="true" outlineLevel="0" collapsed="false">
      <c r="A57" s="8" t="s">
        <v>53</v>
      </c>
      <c r="B57" s="6" t="n">
        <v>1.6</v>
      </c>
      <c r="C57" s="10"/>
    </row>
    <row r="58" customFormat="false" ht="19.5" hidden="false" customHeight="true" outlineLevel="0" collapsed="false">
      <c r="A58" s="5" t="s">
        <v>54</v>
      </c>
      <c r="B58" s="6" t="n">
        <v>1.85</v>
      </c>
      <c r="C58" s="7"/>
    </row>
    <row r="59" customFormat="false" ht="19.5" hidden="false" customHeight="true" outlineLevel="0" collapsed="false">
      <c r="A59" s="8" t="s">
        <v>55</v>
      </c>
      <c r="B59" s="6" t="n">
        <v>2.2</v>
      </c>
      <c r="C59" s="10"/>
    </row>
    <row r="61" customFormat="false" ht="19.5" hidden="false" customHeight="true" outlineLevel="0" collapsed="false">
      <c r="A61" s="3" t="s">
        <v>56</v>
      </c>
      <c r="B61" s="3"/>
      <c r="C61" s="3"/>
    </row>
    <row r="62" customFormat="false" ht="19.5" hidden="false" customHeight="true" outlineLevel="0" collapsed="false">
      <c r="A62" s="5" t="s">
        <v>57</v>
      </c>
      <c r="B62" s="15" t="n">
        <v>0.27</v>
      </c>
      <c r="C62" s="7" t="s">
        <v>58</v>
      </c>
    </row>
    <row r="63" customFormat="false" ht="19.5" hidden="false" customHeight="true" outlineLevel="0" collapsed="false">
      <c r="A63" s="8" t="s">
        <v>59</v>
      </c>
      <c r="B63" s="9" t="n">
        <v>15000</v>
      </c>
      <c r="C63" s="10" t="s">
        <v>60</v>
      </c>
    </row>
    <row r="64" customFormat="false" ht="19.5" hidden="false" customHeight="true" outlineLevel="0" collapsed="false">
      <c r="A64" s="5" t="s">
        <v>61</v>
      </c>
      <c r="B64" s="9" t="n">
        <v>40000</v>
      </c>
      <c r="C64" s="7" t="s">
        <v>62</v>
      </c>
    </row>
  </sheetData>
  <mergeCells count="13">
    <mergeCell ref="A1:C1"/>
    <mergeCell ref="A2:C2"/>
    <mergeCell ref="A4:C4"/>
    <mergeCell ref="A5:C5"/>
    <mergeCell ref="A11:C11"/>
    <mergeCell ref="A12:C12"/>
    <mergeCell ref="A24:C24"/>
    <mergeCell ref="A25:C25"/>
    <mergeCell ref="A37:C37"/>
    <mergeCell ref="A38:C38"/>
    <mergeCell ref="A49:C49"/>
    <mergeCell ref="A55:C55"/>
    <mergeCell ref="A61:C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46" activePane="bottomRight" state="frozen"/>
      <selection pane="topLeft" activeCell="A1" activeCellId="0" sqref="A1"/>
      <selection pane="topRight" activeCell="C1" activeCellId="0" sqref="C1"/>
      <selection pane="bottomLeft" activeCell="A146" activeCellId="0" sqref="A146"/>
      <selection pane="bottomRight" activeCell="H153" activeCellId="0" sqref="H15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10" min="4" style="0" width="15"/>
    <col collapsed="false" customWidth="true" hidden="false" outlineLevel="0" max="11" min="11" style="0" width="22"/>
  </cols>
  <sheetData>
    <row r="1" customFormat="false" ht="33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3.5" hidden="false" customHeight="true" outlineLevel="0" collapsed="false">
      <c r="A3" s="16"/>
      <c r="B3" s="16" t="s">
        <v>65</v>
      </c>
      <c r="C3" s="16" t="s">
        <v>66</v>
      </c>
      <c r="D3" s="16" t="s">
        <v>67</v>
      </c>
      <c r="E3" s="16" t="s">
        <v>68</v>
      </c>
      <c r="F3" s="16" t="s">
        <v>69</v>
      </c>
      <c r="G3" s="16" t="s">
        <v>70</v>
      </c>
      <c r="H3" s="16" t="s">
        <v>71</v>
      </c>
      <c r="I3" s="16" t="s">
        <v>72</v>
      </c>
      <c r="J3" s="16" t="s">
        <v>73</v>
      </c>
      <c r="K3" s="16" t="s">
        <v>74</v>
      </c>
    </row>
    <row r="4" customFormat="false" ht="15.75" hidden="false" customHeight="true" outlineLevel="0" collapsed="false">
      <c r="A4" s="17"/>
      <c r="B4" s="17" t="s">
        <v>75</v>
      </c>
      <c r="C4" s="17"/>
      <c r="D4" s="17" t="s">
        <v>76</v>
      </c>
      <c r="E4" s="18" t="n">
        <f aca="false">'⚙️ BEÁLLÍTÁSOK'!B39</f>
        <v>1</v>
      </c>
      <c r="F4" s="18" t="n">
        <f aca="false">'⚙️ BEÁLLÍTÁSOK'!B40</f>
        <v>1.15</v>
      </c>
      <c r="G4" s="18" t="n">
        <f aca="false">'⚙️ BEÁLLÍTÁSOK'!B41</f>
        <v>1.08</v>
      </c>
      <c r="H4" s="18" t="n">
        <f aca="false">'⚙️ BEÁLLÍTÁSOK'!B42</f>
        <v>1</v>
      </c>
      <c r="I4" s="18" t="n">
        <f aca="false">'⚙️ BEÁLLÍTÁSOK'!B43</f>
        <v>0.93</v>
      </c>
      <c r="J4" s="18" t="n">
        <f aca="false">'⚙️ BEÁLLÍTÁSOK'!B44</f>
        <v>1.25</v>
      </c>
      <c r="K4" s="17"/>
    </row>
    <row r="5" customFormat="false" ht="21.75" hidden="false" customHeight="true" outlineLevel="0" collapsed="false">
      <c r="A5" s="19" t="s">
        <v>77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customFormat="false" ht="12.75" hidden="false" customHeight="true" outlineLevel="0" collapsed="false">
      <c r="A6" s="12" t="s">
        <v>78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customFormat="false" ht="19.5" hidden="false" customHeight="true" outlineLevel="0" collapsed="false">
      <c r="A7" s="20"/>
      <c r="B7" s="21" t="s">
        <v>79</v>
      </c>
      <c r="C7" s="22" t="s">
        <v>80</v>
      </c>
      <c r="D7" s="23" t="n">
        <v>24000</v>
      </c>
      <c r="E7" s="24" t="n">
        <f aca="false">ROUND(D7*'⚙️ BEÁLLÍTÁSOK'!B39/100,0)*100</f>
        <v>24000</v>
      </c>
      <c r="F7" s="24" t="n">
        <f aca="false">ROUND(D7*'⚙️ BEÁLLÍTÁSOK'!B40/100,0)*100</f>
        <v>27600</v>
      </c>
      <c r="G7" s="24" t="n">
        <f aca="false">ROUND(D7*'⚙️ BEÁLLÍTÁSOK'!B41/100,0)*100</f>
        <v>25900</v>
      </c>
      <c r="H7" s="24" t="n">
        <f aca="false">ROUND(D7*'⚙️ BEÁLLÍTÁSOK'!B42/100,0)*100</f>
        <v>24000</v>
      </c>
      <c r="I7" s="24" t="n">
        <f aca="false">ROUND(D7*'⚙️ BEÁLLÍTÁSOK'!B43/100,0)*100</f>
        <v>22300</v>
      </c>
      <c r="J7" s="24" t="n">
        <f aca="false">ROUND(D7*'⚙️ BEÁLLÍTÁSOK'!B44/100,0)*100</f>
        <v>30000</v>
      </c>
      <c r="K7" s="25" t="s">
        <v>81</v>
      </c>
    </row>
    <row r="8" customFormat="false" ht="19.5" hidden="false" customHeight="true" outlineLevel="0" collapsed="false">
      <c r="A8" s="26"/>
      <c r="B8" s="27" t="s">
        <v>82</v>
      </c>
      <c r="C8" s="28" t="s">
        <v>80</v>
      </c>
      <c r="D8" s="23" t="n">
        <v>52000</v>
      </c>
      <c r="E8" s="29" t="n">
        <f aca="false">ROUND(D8*'⚙️ BEÁLLÍTÁSOK'!B39/100,0)*100</f>
        <v>52000</v>
      </c>
      <c r="F8" s="29" t="n">
        <f aca="false">ROUND(D8*'⚙️ BEÁLLÍTÁSOK'!B40/100,0)*100</f>
        <v>59800</v>
      </c>
      <c r="G8" s="29" t="n">
        <f aca="false">ROUND(D8*'⚙️ BEÁLLÍTÁSOK'!B41/100,0)*100</f>
        <v>56200</v>
      </c>
      <c r="H8" s="29" t="n">
        <f aca="false">ROUND(D8*'⚙️ BEÁLLÍTÁSOK'!B42/100,0)*100</f>
        <v>52000</v>
      </c>
      <c r="I8" s="29" t="n">
        <f aca="false">ROUND(D8*'⚙️ BEÁLLÍTÁSOK'!B43/100,0)*100</f>
        <v>48400</v>
      </c>
      <c r="J8" s="29" t="n">
        <f aca="false">ROUND(D8*'⚙️ BEÁLLÍTÁSOK'!B44/100,0)*100</f>
        <v>65000</v>
      </c>
      <c r="K8" s="30"/>
    </row>
    <row r="9" customFormat="false" ht="19.5" hidden="false" customHeight="true" outlineLevel="0" collapsed="false">
      <c r="A9" s="20"/>
      <c r="B9" s="21" t="s">
        <v>83</v>
      </c>
      <c r="C9" s="22" t="s">
        <v>80</v>
      </c>
      <c r="D9" s="23" t="n">
        <v>98000</v>
      </c>
      <c r="E9" s="24" t="n">
        <f aca="false">ROUND(D9*'⚙️ BEÁLLÍTÁSOK'!B39/100,0)*100</f>
        <v>98000</v>
      </c>
      <c r="F9" s="24" t="n">
        <f aca="false">ROUND(D9*'⚙️ BEÁLLÍTÁSOK'!B40/100,0)*100</f>
        <v>112700</v>
      </c>
      <c r="G9" s="24" t="n">
        <f aca="false">ROUND(D9*'⚙️ BEÁLLÍTÁSOK'!B41/100,0)*100</f>
        <v>105800</v>
      </c>
      <c r="H9" s="24" t="n">
        <f aca="false">ROUND(D9*'⚙️ BEÁLLÍTÁSOK'!B42/100,0)*100</f>
        <v>98000</v>
      </c>
      <c r="I9" s="24" t="n">
        <f aca="false">ROUND(D9*'⚙️ BEÁLLÍTÁSOK'!B43/100,0)*100</f>
        <v>91100</v>
      </c>
      <c r="J9" s="24" t="n">
        <f aca="false">ROUND(D9*'⚙️ BEÁLLÍTÁSOK'!B44/100,0)*100</f>
        <v>122500</v>
      </c>
      <c r="K9" s="25"/>
    </row>
    <row r="10" customFormat="false" ht="19.5" hidden="false" customHeight="true" outlineLevel="0" collapsed="false">
      <c r="A10" s="26"/>
      <c r="B10" s="27" t="s">
        <v>84</v>
      </c>
      <c r="C10" s="28" t="s">
        <v>80</v>
      </c>
      <c r="D10" s="23" t="n">
        <v>175000</v>
      </c>
      <c r="E10" s="29" t="n">
        <f aca="false">ROUND(D10*'⚙️ BEÁLLÍTÁSOK'!B39/100,0)*100</f>
        <v>175000</v>
      </c>
      <c r="F10" s="29" t="n">
        <f aca="false">ROUND(D10*'⚙️ BEÁLLÍTÁSOK'!B40/100,0)*100</f>
        <v>201200</v>
      </c>
      <c r="G10" s="29" t="n">
        <f aca="false">ROUND(D10*'⚙️ BEÁLLÍTÁSOK'!B41/100,0)*100</f>
        <v>189000</v>
      </c>
      <c r="H10" s="29" t="n">
        <f aca="false">ROUND(D10*'⚙️ BEÁLLÍTÁSOK'!B42/100,0)*100</f>
        <v>175000</v>
      </c>
      <c r="I10" s="29" t="n">
        <f aca="false">ROUND(D10*'⚙️ BEÁLLÍTÁSOK'!B43/100,0)*100</f>
        <v>162800</v>
      </c>
      <c r="J10" s="29" t="n">
        <f aca="false">ROUND(D10*'⚙️ BEÁLLÍTÁSOK'!B44/100,0)*100</f>
        <v>218800</v>
      </c>
      <c r="K10" s="30"/>
    </row>
    <row r="11" customFormat="false" ht="19.5" hidden="false" customHeight="true" outlineLevel="0" collapsed="false">
      <c r="A11" s="20"/>
      <c r="B11" s="21" t="s">
        <v>85</v>
      </c>
      <c r="C11" s="22" t="s">
        <v>80</v>
      </c>
      <c r="D11" s="31" t="s">
        <v>86</v>
      </c>
      <c r="E11" s="32" t="s">
        <v>87</v>
      </c>
      <c r="F11" s="32" t="s">
        <v>87</v>
      </c>
      <c r="G11" s="32" t="s">
        <v>87</v>
      </c>
      <c r="H11" s="32" t="s">
        <v>87</v>
      </c>
      <c r="I11" s="32" t="s">
        <v>87</v>
      </c>
      <c r="J11" s="32" t="s">
        <v>87</v>
      </c>
      <c r="K11" s="25" t="s">
        <v>88</v>
      </c>
    </row>
    <row r="12" customFormat="false" ht="19.5" hidden="false" customHeight="true" outlineLevel="0" collapsed="false">
      <c r="A12" s="26"/>
      <c r="B12" s="27" t="s">
        <v>89</v>
      </c>
      <c r="C12" s="28" t="s">
        <v>80</v>
      </c>
      <c r="D12" s="23" t="n">
        <v>25000</v>
      </c>
      <c r="E12" s="29" t="n">
        <f aca="false">ROUND(D12*'⚙️ BEÁLLÍTÁSOK'!B39/100,0)*100</f>
        <v>25000</v>
      </c>
      <c r="F12" s="29" t="n">
        <f aca="false">ROUND(D12*'⚙️ BEÁLLÍTÁSOK'!B40/100,0)*100</f>
        <v>28700</v>
      </c>
      <c r="G12" s="29" t="n">
        <f aca="false">ROUND(D12*'⚙️ BEÁLLÍTÁSOK'!B41/100,0)*100</f>
        <v>27000</v>
      </c>
      <c r="H12" s="29" t="n">
        <f aca="false">ROUND(D12*'⚙️ BEÁLLÍTÁSOK'!B42/100,0)*100</f>
        <v>25000</v>
      </c>
      <c r="I12" s="29" t="n">
        <f aca="false">ROUND(D12*'⚙️ BEÁLLÍTÁSOK'!B43/100,0)*100</f>
        <v>23300</v>
      </c>
      <c r="J12" s="29" t="n">
        <f aca="false">ROUND(D12*'⚙️ BEÁLLÍTÁSOK'!B44/100,0)*100</f>
        <v>31300</v>
      </c>
      <c r="K12" s="30" t="s">
        <v>90</v>
      </c>
    </row>
    <row r="13" customFormat="false" ht="19.5" hidden="false" customHeight="true" outlineLevel="0" collapsed="false">
      <c r="A13" s="20"/>
      <c r="B13" s="21" t="s">
        <v>91</v>
      </c>
      <c r="C13" s="22" t="s">
        <v>92</v>
      </c>
      <c r="D13" s="23" t="n">
        <v>15000</v>
      </c>
      <c r="E13" s="24" t="n">
        <f aca="false">ROUND(D13*'⚙️ BEÁLLÍTÁSOK'!B39/100,0)*100</f>
        <v>15000</v>
      </c>
      <c r="F13" s="24" t="n">
        <f aca="false">ROUND(D13*'⚙️ BEÁLLÍTÁSOK'!B40/100,0)*100</f>
        <v>17300</v>
      </c>
      <c r="G13" s="24" t="n">
        <f aca="false">ROUND(D13*'⚙️ BEÁLLÍTÁSOK'!B41/100,0)*100</f>
        <v>16200</v>
      </c>
      <c r="H13" s="24" t="n">
        <f aca="false">ROUND(D13*'⚙️ BEÁLLÍTÁSOK'!B42/100,0)*100</f>
        <v>15000</v>
      </c>
      <c r="I13" s="24" t="n">
        <f aca="false">ROUND(D13*'⚙️ BEÁLLÍTÁSOK'!B43/100,0)*100</f>
        <v>14000</v>
      </c>
      <c r="J13" s="24" t="n">
        <f aca="false">ROUND(D13*'⚙️ BEÁLLÍTÁSOK'!B44/100,0)*100</f>
        <v>18800</v>
      </c>
      <c r="K13" s="25" t="s">
        <v>93</v>
      </c>
    </row>
    <row r="14" customFormat="false" ht="19.5" hidden="false" customHeight="true" outlineLevel="0" collapsed="false">
      <c r="A14" s="26"/>
      <c r="B14" s="27" t="s">
        <v>94</v>
      </c>
      <c r="C14" s="28" t="s">
        <v>92</v>
      </c>
      <c r="D14" s="23" t="n">
        <v>24000</v>
      </c>
      <c r="E14" s="29" t="n">
        <f aca="false">ROUND(D14*'⚙️ BEÁLLÍTÁSOK'!B39/100,0)*100</f>
        <v>24000</v>
      </c>
      <c r="F14" s="29" t="n">
        <f aca="false">ROUND(D14*'⚙️ BEÁLLÍTÁSOK'!B40/100,0)*100</f>
        <v>27600</v>
      </c>
      <c r="G14" s="29" t="n">
        <f aca="false">ROUND(D14*'⚙️ BEÁLLÍTÁSOK'!B41/100,0)*100</f>
        <v>25900</v>
      </c>
      <c r="H14" s="29" t="n">
        <f aca="false">ROUND(D14*'⚙️ BEÁLLÍTÁSOK'!B42/100,0)*100</f>
        <v>24000</v>
      </c>
      <c r="I14" s="29" t="n">
        <f aca="false">ROUND(D14*'⚙️ BEÁLLÍTÁSOK'!B43/100,0)*100</f>
        <v>22300</v>
      </c>
      <c r="J14" s="29" t="n">
        <f aca="false">ROUND(D14*'⚙️ BEÁLLÍTÁSOK'!B44/100,0)*100</f>
        <v>30000</v>
      </c>
      <c r="K14" s="30" t="s">
        <v>95</v>
      </c>
    </row>
    <row r="15" customFormat="false" ht="18" hidden="false" customHeight="true" outlineLevel="0" collapsed="false">
      <c r="A15" s="33" t="s">
        <v>96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customFormat="false" ht="19.5" hidden="false" customHeight="true" outlineLevel="0" collapsed="false">
      <c r="A16" s="20"/>
      <c r="B16" s="21" t="s">
        <v>97</v>
      </c>
      <c r="C16" s="22" t="s">
        <v>98</v>
      </c>
      <c r="D16" s="23" t="n">
        <v>1200</v>
      </c>
      <c r="E16" s="24" t="n">
        <f aca="false">ROUND(D16*'⚙️ BEÁLLÍTÁSOK'!B39/100,0)*100</f>
        <v>1200</v>
      </c>
      <c r="F16" s="24" t="n">
        <f aca="false">ROUND(D16*'⚙️ BEÁLLÍTÁSOK'!B40/100,0)*100</f>
        <v>1400</v>
      </c>
      <c r="G16" s="24" t="n">
        <f aca="false">ROUND(D16*'⚙️ BEÁLLÍTÁSOK'!B41/100,0)*100</f>
        <v>1300</v>
      </c>
      <c r="H16" s="24" t="n">
        <f aca="false">ROUND(D16*'⚙️ BEÁLLÍTÁSOK'!B42/100,0)*100</f>
        <v>1200</v>
      </c>
      <c r="I16" s="24" t="n">
        <f aca="false">ROUND(D16*'⚙️ BEÁLLÍTÁSOK'!B43/100,0)*100</f>
        <v>1100</v>
      </c>
      <c r="J16" s="24" t="n">
        <f aca="false">ROUND(D16*'⚙️ BEÁLLÍTÁSOK'!B44/100,0)*100</f>
        <v>1500</v>
      </c>
      <c r="K16" s="25" t="s">
        <v>99</v>
      </c>
    </row>
    <row r="17" customFormat="false" ht="19.5" hidden="false" customHeight="true" outlineLevel="0" collapsed="false">
      <c r="A17" s="26"/>
      <c r="B17" s="27" t="s">
        <v>100</v>
      </c>
      <c r="C17" s="28" t="s">
        <v>101</v>
      </c>
      <c r="D17" s="23" t="n">
        <v>6000</v>
      </c>
      <c r="E17" s="29" t="n">
        <f aca="false">ROUND(D17*'⚙️ BEÁLLÍTÁSOK'!B39/100,0)*100</f>
        <v>6000</v>
      </c>
      <c r="F17" s="29" t="n">
        <f aca="false">ROUND(D17*'⚙️ BEÁLLÍTÁSOK'!B40/100,0)*100</f>
        <v>6900</v>
      </c>
      <c r="G17" s="29" t="n">
        <f aca="false">ROUND(D17*'⚙️ BEÁLLÍTÁSOK'!B41/100,0)*100</f>
        <v>6500</v>
      </c>
      <c r="H17" s="29" t="n">
        <f aca="false">ROUND(D17*'⚙️ BEÁLLÍTÁSOK'!B42/100,0)*100</f>
        <v>6000</v>
      </c>
      <c r="I17" s="29" t="n">
        <f aca="false">ROUND(D17*'⚙️ BEÁLLÍTÁSOK'!B43/100,0)*100</f>
        <v>5600</v>
      </c>
      <c r="J17" s="29" t="n">
        <f aca="false">ROUND(D17*'⚙️ BEÁLLÍTÁSOK'!B44/100,0)*100</f>
        <v>7500</v>
      </c>
      <c r="K17" s="30"/>
    </row>
    <row r="18" customFormat="false" ht="19.5" hidden="false" customHeight="true" outlineLevel="0" collapsed="false">
      <c r="A18" s="20"/>
      <c r="B18" s="21" t="s">
        <v>102</v>
      </c>
      <c r="C18" s="22" t="s">
        <v>103</v>
      </c>
      <c r="D18" s="23" t="n">
        <v>5000</v>
      </c>
      <c r="E18" s="24" t="n">
        <f aca="false">ROUND(D18*'⚙️ BEÁLLÍTÁSOK'!B39/100,0)*100</f>
        <v>5000</v>
      </c>
      <c r="F18" s="24" t="n">
        <f aca="false">ROUND(D18*'⚙️ BEÁLLÍTÁSOK'!B40/100,0)*100</f>
        <v>5800</v>
      </c>
      <c r="G18" s="24" t="n">
        <f aca="false">ROUND(D18*'⚙️ BEÁLLÍTÁSOK'!B41/100,0)*100</f>
        <v>5400</v>
      </c>
      <c r="H18" s="24" t="n">
        <f aca="false">ROUND(D18*'⚙️ BEÁLLÍTÁSOK'!B42/100,0)*100</f>
        <v>5000</v>
      </c>
      <c r="I18" s="24" t="n">
        <f aca="false">ROUND(D18*'⚙️ BEÁLLÍTÁSOK'!B43/100,0)*100</f>
        <v>4700</v>
      </c>
      <c r="J18" s="24" t="n">
        <f aca="false">ROUND(D18*'⚙️ BEÁLLÍTÁSOK'!B44/100,0)*100</f>
        <v>6300</v>
      </c>
      <c r="K18" s="25"/>
    </row>
    <row r="19" customFormat="false" ht="19.5" hidden="false" customHeight="true" outlineLevel="0" collapsed="false">
      <c r="A19" s="26"/>
      <c r="B19" s="27" t="s">
        <v>104</v>
      </c>
      <c r="C19" s="28" t="s">
        <v>103</v>
      </c>
      <c r="D19" s="23" t="n">
        <v>5500</v>
      </c>
      <c r="E19" s="29" t="n">
        <f aca="false">ROUND(D19*'⚙️ BEÁLLÍTÁSOK'!B39/100,0)*100</f>
        <v>5500</v>
      </c>
      <c r="F19" s="29" t="n">
        <f aca="false">ROUND(D19*'⚙️ BEÁLLÍTÁSOK'!B40/100,0)*100</f>
        <v>6300</v>
      </c>
      <c r="G19" s="29" t="n">
        <f aca="false">ROUND(D19*'⚙️ BEÁLLÍTÁSOK'!B41/100,0)*100</f>
        <v>5900</v>
      </c>
      <c r="H19" s="29" t="n">
        <f aca="false">ROUND(D19*'⚙️ BEÁLLÍTÁSOK'!B42/100,0)*100</f>
        <v>5500</v>
      </c>
      <c r="I19" s="29" t="n">
        <f aca="false">ROUND(D19*'⚙️ BEÁLLÍTÁSOK'!B43/100,0)*100</f>
        <v>5100</v>
      </c>
      <c r="J19" s="29" t="n">
        <f aca="false">ROUND(D19*'⚙️ BEÁLLÍTÁSOK'!B44/100,0)*100</f>
        <v>6900</v>
      </c>
      <c r="K19" s="30"/>
    </row>
    <row r="20" customFormat="false" ht="19.5" hidden="false" customHeight="true" outlineLevel="0" collapsed="false">
      <c r="A20" s="20"/>
      <c r="B20" s="21" t="s">
        <v>105</v>
      </c>
      <c r="C20" s="22" t="s">
        <v>106</v>
      </c>
      <c r="D20" s="31" t="s">
        <v>86</v>
      </c>
      <c r="E20" s="32" t="s">
        <v>87</v>
      </c>
      <c r="F20" s="32" t="s">
        <v>87</v>
      </c>
      <c r="G20" s="32" t="s">
        <v>87</v>
      </c>
      <c r="H20" s="32" t="s">
        <v>87</v>
      </c>
      <c r="I20" s="32" t="s">
        <v>87</v>
      </c>
      <c r="J20" s="32" t="s">
        <v>87</v>
      </c>
      <c r="K20" s="25" t="s">
        <v>107</v>
      </c>
    </row>
    <row r="21" customFormat="false" ht="19.5" hidden="false" customHeight="true" outlineLevel="0" collapsed="false">
      <c r="A21" s="26"/>
      <c r="B21" s="27" t="s">
        <v>108</v>
      </c>
      <c r="C21" s="28" t="s">
        <v>109</v>
      </c>
      <c r="D21" s="23" t="n">
        <v>26000</v>
      </c>
      <c r="E21" s="29" t="n">
        <f aca="false">ROUND(D21*'⚙️ BEÁLLÍTÁSOK'!B39/100,0)*100</f>
        <v>26000</v>
      </c>
      <c r="F21" s="29" t="n">
        <f aca="false">ROUND(D21*'⚙️ BEÁLLÍTÁSOK'!B40/100,0)*100</f>
        <v>29900</v>
      </c>
      <c r="G21" s="29" t="n">
        <f aca="false">ROUND(D21*'⚙️ BEÁLLÍTÁSOK'!B41/100,0)*100</f>
        <v>28100</v>
      </c>
      <c r="H21" s="29" t="n">
        <f aca="false">ROUND(D21*'⚙️ BEÁLLÍTÁSOK'!B42/100,0)*100</f>
        <v>26000</v>
      </c>
      <c r="I21" s="29" t="n">
        <f aca="false">ROUND(D21*'⚙️ BEÁLLÍTÁSOK'!B43/100,0)*100</f>
        <v>24200</v>
      </c>
      <c r="J21" s="29" t="n">
        <f aca="false">ROUND(D21*'⚙️ BEÁLLÍTÁSOK'!B44/100,0)*100</f>
        <v>32500</v>
      </c>
      <c r="K21" s="30"/>
    </row>
    <row r="22" customFormat="false" ht="19.5" hidden="false" customHeight="true" outlineLevel="0" collapsed="false">
      <c r="A22" s="20"/>
      <c r="B22" s="21" t="s">
        <v>110</v>
      </c>
      <c r="C22" s="22" t="s">
        <v>101</v>
      </c>
      <c r="D22" s="23" t="n">
        <v>3500</v>
      </c>
      <c r="E22" s="24" t="n">
        <f aca="false">ROUND(D22*'⚙️ BEÁLLÍTÁSOK'!B39/100,0)*100</f>
        <v>3500</v>
      </c>
      <c r="F22" s="24" t="n">
        <f aca="false">ROUND(D22*'⚙️ BEÁLLÍTÁSOK'!B40/100,0)*100</f>
        <v>4000</v>
      </c>
      <c r="G22" s="24" t="n">
        <f aca="false">ROUND(D22*'⚙️ BEÁLLÍTÁSOK'!B41/100,0)*100</f>
        <v>3800</v>
      </c>
      <c r="H22" s="24" t="n">
        <f aca="false">ROUND(D22*'⚙️ BEÁLLÍTÁSOK'!B42/100,0)*100</f>
        <v>3500</v>
      </c>
      <c r="I22" s="24" t="n">
        <f aca="false">ROUND(D22*'⚙️ BEÁLLÍTÁSOK'!B43/100,0)*100</f>
        <v>3300</v>
      </c>
      <c r="J22" s="24" t="n">
        <f aca="false">ROUND(D22*'⚙️ BEÁLLÍTÁSOK'!B44/100,0)*100</f>
        <v>4400</v>
      </c>
      <c r="K22" s="25"/>
    </row>
    <row r="23" customFormat="false" ht="19.5" hidden="false" customHeight="true" outlineLevel="0" collapsed="false">
      <c r="A23" s="26"/>
      <c r="B23" s="27" t="s">
        <v>111</v>
      </c>
      <c r="C23" s="28" t="s">
        <v>101</v>
      </c>
      <c r="D23" s="23" t="n">
        <v>3000</v>
      </c>
      <c r="E23" s="29" t="n">
        <f aca="false">ROUND(D23*'⚙️ BEÁLLÍTÁSOK'!B39/100,0)*100</f>
        <v>3000</v>
      </c>
      <c r="F23" s="29" t="n">
        <f aca="false">ROUND(D23*'⚙️ BEÁLLÍTÁSOK'!B40/100,0)*100</f>
        <v>3400</v>
      </c>
      <c r="G23" s="29" t="n">
        <f aca="false">ROUND(D23*'⚙️ BEÁLLÍTÁSOK'!B41/100,0)*100</f>
        <v>3200</v>
      </c>
      <c r="H23" s="29" t="n">
        <f aca="false">ROUND(D23*'⚙️ BEÁLLÍTÁSOK'!B42/100,0)*100</f>
        <v>3000</v>
      </c>
      <c r="I23" s="29" t="n">
        <f aca="false">ROUND(D23*'⚙️ BEÁLLÍTÁSOK'!B43/100,0)*100</f>
        <v>2800</v>
      </c>
      <c r="J23" s="29" t="n">
        <f aca="false">ROUND(D23*'⚙️ BEÁLLÍTÁSOK'!B44/100,0)*100</f>
        <v>3800</v>
      </c>
      <c r="K23" s="30"/>
    </row>
    <row r="24" customFormat="false" ht="19.5" hidden="false" customHeight="true" outlineLevel="0" collapsed="false">
      <c r="A24" s="20"/>
      <c r="B24" s="21" t="s">
        <v>112</v>
      </c>
      <c r="C24" s="22" t="s">
        <v>101</v>
      </c>
      <c r="D24" s="23" t="n">
        <v>7500</v>
      </c>
      <c r="E24" s="24" t="n">
        <f aca="false">ROUND(D24*'⚙️ BEÁLLÍTÁSOK'!B39/100,0)*100</f>
        <v>7500</v>
      </c>
      <c r="F24" s="24" t="n">
        <f aca="false">ROUND(D24*'⚙️ BEÁLLÍTÁSOK'!B40/100,0)*100</f>
        <v>8600</v>
      </c>
      <c r="G24" s="24" t="n">
        <f aca="false">ROUND(D24*'⚙️ BEÁLLÍTÁSOK'!B41/100,0)*100</f>
        <v>8100</v>
      </c>
      <c r="H24" s="24" t="n">
        <f aca="false">ROUND(D24*'⚙️ BEÁLLÍTÁSOK'!B42/100,0)*100</f>
        <v>7500</v>
      </c>
      <c r="I24" s="24" t="n">
        <f aca="false">ROUND(D24*'⚙️ BEÁLLÍTÁSOK'!B43/100,0)*100</f>
        <v>7000</v>
      </c>
      <c r="J24" s="24" t="n">
        <f aca="false">ROUND(D24*'⚙️ BEÁLLÍTÁSOK'!B44/100,0)*100</f>
        <v>9400</v>
      </c>
      <c r="K24" s="25"/>
    </row>
    <row r="25" customFormat="false" ht="19.5" hidden="false" customHeight="true" outlineLevel="0" collapsed="false">
      <c r="A25" s="26"/>
      <c r="B25" s="27" t="s">
        <v>113</v>
      </c>
      <c r="C25" s="28" t="s">
        <v>114</v>
      </c>
      <c r="D25" s="23" t="n">
        <v>5000</v>
      </c>
      <c r="E25" s="29" t="n">
        <f aca="false">ROUND(D25*'⚙️ BEÁLLÍTÁSOK'!B39/100,0)*100</f>
        <v>5000</v>
      </c>
      <c r="F25" s="29" t="n">
        <f aca="false">ROUND(D25*'⚙️ BEÁLLÍTÁSOK'!B40/100,0)*100</f>
        <v>5800</v>
      </c>
      <c r="G25" s="29" t="n">
        <f aca="false">ROUND(D25*'⚙️ BEÁLLÍTÁSOK'!B41/100,0)*100</f>
        <v>5400</v>
      </c>
      <c r="H25" s="29" t="n">
        <f aca="false">ROUND(D25*'⚙️ BEÁLLÍTÁSOK'!B42/100,0)*100</f>
        <v>5000</v>
      </c>
      <c r="I25" s="29" t="n">
        <f aca="false">ROUND(D25*'⚙️ BEÁLLÍTÁSOK'!B43/100,0)*100</f>
        <v>4700</v>
      </c>
      <c r="J25" s="29" t="n">
        <f aca="false">ROUND(D25*'⚙️ BEÁLLÍTÁSOK'!B44/100,0)*100</f>
        <v>6300</v>
      </c>
      <c r="K25" s="30"/>
    </row>
    <row r="26" customFormat="false" ht="19.5" hidden="false" customHeight="true" outlineLevel="0" collapsed="false">
      <c r="A26" s="20"/>
      <c r="B26" s="21" t="s">
        <v>115</v>
      </c>
      <c r="C26" s="22" t="s">
        <v>103</v>
      </c>
      <c r="D26" s="23" t="n">
        <v>6500</v>
      </c>
      <c r="E26" s="24" t="n">
        <f aca="false">ROUND(D26*'⚙️ BEÁLLÍTÁSOK'!B39/100,0)*100</f>
        <v>6500</v>
      </c>
      <c r="F26" s="24" t="n">
        <f aca="false">ROUND(D26*'⚙️ BEÁLLÍTÁSOK'!B40/100,0)*100</f>
        <v>7500</v>
      </c>
      <c r="G26" s="24" t="n">
        <f aca="false">ROUND(D26*'⚙️ BEÁLLÍTÁSOK'!B41/100,0)*100</f>
        <v>7000</v>
      </c>
      <c r="H26" s="24" t="n">
        <f aca="false">ROUND(D26*'⚙️ BEÁLLÍTÁSOK'!B42/100,0)*100</f>
        <v>6500</v>
      </c>
      <c r="I26" s="24" t="n">
        <f aca="false">ROUND(D26*'⚙️ BEÁLLÍTÁSOK'!B43/100,0)*100</f>
        <v>6000</v>
      </c>
      <c r="J26" s="24" t="n">
        <f aca="false">ROUND(D26*'⚙️ BEÁLLÍTÁSOK'!B44/100,0)*100</f>
        <v>8100</v>
      </c>
      <c r="K26" s="25"/>
    </row>
    <row r="27" customFormat="false" ht="19.5" hidden="false" customHeight="true" outlineLevel="0" collapsed="false">
      <c r="A27" s="26"/>
      <c r="B27" s="27" t="s">
        <v>116</v>
      </c>
      <c r="C27" s="28" t="s">
        <v>103</v>
      </c>
      <c r="D27" s="23" t="n">
        <v>5000</v>
      </c>
      <c r="E27" s="29" t="n">
        <f aca="false">ROUND(D27*'⚙️ BEÁLLÍTÁSOK'!B39/100,0)*100</f>
        <v>5000</v>
      </c>
      <c r="F27" s="29" t="n">
        <f aca="false">ROUND(D27*'⚙️ BEÁLLÍTÁSOK'!B40/100,0)*100</f>
        <v>5800</v>
      </c>
      <c r="G27" s="29" t="n">
        <f aca="false">ROUND(D27*'⚙️ BEÁLLÍTÁSOK'!B41/100,0)*100</f>
        <v>5400</v>
      </c>
      <c r="H27" s="29" t="n">
        <f aca="false">ROUND(D27*'⚙️ BEÁLLÍTÁSOK'!B42/100,0)*100</f>
        <v>5000</v>
      </c>
      <c r="I27" s="29" t="n">
        <f aca="false">ROUND(D27*'⚙️ BEÁLLÍTÁSOK'!B43/100,0)*100</f>
        <v>4700</v>
      </c>
      <c r="J27" s="29" t="n">
        <f aca="false">ROUND(D27*'⚙️ BEÁLLÍTÁSOK'!B44/100,0)*100</f>
        <v>6300</v>
      </c>
      <c r="K27" s="30"/>
    </row>
    <row r="28" customFormat="false" ht="18" hidden="false" customHeight="true" outlineLevel="0" collapsed="false">
      <c r="A28" s="33" t="s">
        <v>117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customFormat="false" ht="19.5" hidden="false" customHeight="true" outlineLevel="0" collapsed="false">
      <c r="A29" s="20"/>
      <c r="B29" s="21" t="s">
        <v>118</v>
      </c>
      <c r="C29" s="22" t="s">
        <v>103</v>
      </c>
      <c r="D29" s="23" t="n">
        <v>7000</v>
      </c>
      <c r="E29" s="24" t="n">
        <f aca="false">ROUND(D29*'⚙️ BEÁLLÍTÁSOK'!B39/100,0)*100</f>
        <v>7000</v>
      </c>
      <c r="F29" s="24" t="n">
        <f aca="false">ROUND(D29*'⚙️ BEÁLLÍTÁSOK'!B40/100,0)*100</f>
        <v>8000</v>
      </c>
      <c r="G29" s="24" t="n">
        <f aca="false">ROUND(D29*'⚙️ BEÁLLÍTÁSOK'!B41/100,0)*100</f>
        <v>7600</v>
      </c>
      <c r="H29" s="24" t="n">
        <f aca="false">ROUND(D29*'⚙️ BEÁLLÍTÁSOK'!B42/100,0)*100</f>
        <v>7000</v>
      </c>
      <c r="I29" s="24" t="n">
        <f aca="false">ROUND(D29*'⚙️ BEÁLLÍTÁSOK'!B43/100,0)*100</f>
        <v>6500</v>
      </c>
      <c r="J29" s="24" t="n">
        <f aca="false">ROUND(D29*'⚙️ BEÁLLÍTÁSOK'!B44/100,0)*100</f>
        <v>8800</v>
      </c>
      <c r="K29" s="25"/>
    </row>
    <row r="30" customFormat="false" ht="19.5" hidden="false" customHeight="true" outlineLevel="0" collapsed="false">
      <c r="A30" s="26"/>
      <c r="B30" s="27" t="s">
        <v>119</v>
      </c>
      <c r="C30" s="28" t="s">
        <v>120</v>
      </c>
      <c r="D30" s="23" t="n">
        <v>13000</v>
      </c>
      <c r="E30" s="29" t="n">
        <f aca="false">ROUND(D30*'⚙️ BEÁLLÍTÁSOK'!B39/100,0)*100</f>
        <v>13000</v>
      </c>
      <c r="F30" s="29" t="n">
        <f aca="false">ROUND(D30*'⚙️ BEÁLLÍTÁSOK'!B40/100,0)*100</f>
        <v>14900</v>
      </c>
      <c r="G30" s="29" t="n">
        <f aca="false">ROUND(D30*'⚙️ BEÁLLÍTÁSOK'!B41/100,0)*100</f>
        <v>14000</v>
      </c>
      <c r="H30" s="29" t="n">
        <f aca="false">ROUND(D30*'⚙️ BEÁLLÍTÁSOK'!B42/100,0)*100</f>
        <v>13000</v>
      </c>
      <c r="I30" s="29" t="n">
        <f aca="false">ROUND(D30*'⚙️ BEÁLLÍTÁSOK'!B43/100,0)*100</f>
        <v>12100</v>
      </c>
      <c r="J30" s="29" t="n">
        <f aca="false">ROUND(D30*'⚙️ BEÁLLÍTÁSOK'!B44/100,0)*100</f>
        <v>16300</v>
      </c>
      <c r="K30" s="30"/>
    </row>
    <row r="31" customFormat="false" ht="19.5" hidden="false" customHeight="true" outlineLevel="0" collapsed="false">
      <c r="A31" s="20"/>
      <c r="B31" s="21" t="s">
        <v>121</v>
      </c>
      <c r="C31" s="22" t="s">
        <v>103</v>
      </c>
      <c r="D31" s="23" t="n">
        <v>7500</v>
      </c>
      <c r="E31" s="24" t="n">
        <f aca="false">ROUND(D31*'⚙️ BEÁLLÍTÁSOK'!B39/100,0)*100</f>
        <v>7500</v>
      </c>
      <c r="F31" s="24" t="n">
        <f aca="false">ROUND(D31*'⚙️ BEÁLLÍTÁSOK'!B40/100,0)*100</f>
        <v>8600</v>
      </c>
      <c r="G31" s="24" t="n">
        <f aca="false">ROUND(D31*'⚙️ BEÁLLÍTÁSOK'!B41/100,0)*100</f>
        <v>8100</v>
      </c>
      <c r="H31" s="24" t="n">
        <f aca="false">ROUND(D31*'⚙️ BEÁLLÍTÁSOK'!B42/100,0)*100</f>
        <v>7500</v>
      </c>
      <c r="I31" s="24" t="n">
        <f aca="false">ROUND(D31*'⚙️ BEÁLLÍTÁSOK'!B43/100,0)*100</f>
        <v>7000</v>
      </c>
      <c r="J31" s="24" t="n">
        <f aca="false">ROUND(D31*'⚙️ BEÁLLÍTÁSOK'!B44/100,0)*100</f>
        <v>9400</v>
      </c>
      <c r="K31" s="25"/>
    </row>
    <row r="32" customFormat="false" ht="19.5" hidden="false" customHeight="true" outlineLevel="0" collapsed="false">
      <c r="A32" s="26"/>
      <c r="B32" s="27" t="s">
        <v>122</v>
      </c>
      <c r="C32" s="28" t="s">
        <v>109</v>
      </c>
      <c r="D32" s="23" t="n">
        <v>26000</v>
      </c>
      <c r="E32" s="29" t="n">
        <f aca="false">ROUND(D32*'⚙️ BEÁLLÍTÁSOK'!B39/100,0)*100</f>
        <v>26000</v>
      </c>
      <c r="F32" s="29" t="n">
        <f aca="false">ROUND(D32*'⚙️ BEÁLLÍTÁSOK'!B40/100,0)*100</f>
        <v>29900</v>
      </c>
      <c r="G32" s="29" t="n">
        <f aca="false">ROUND(D32*'⚙️ BEÁLLÍTÁSOK'!B41/100,0)*100</f>
        <v>28100</v>
      </c>
      <c r="H32" s="29" t="n">
        <f aca="false">ROUND(D32*'⚙️ BEÁLLÍTÁSOK'!B42/100,0)*100</f>
        <v>26000</v>
      </c>
      <c r="I32" s="29" t="n">
        <f aca="false">ROUND(D32*'⚙️ BEÁLLÍTÁSOK'!B43/100,0)*100</f>
        <v>24200</v>
      </c>
      <c r="J32" s="29" t="n">
        <f aca="false">ROUND(D32*'⚙️ BEÁLLÍTÁSOK'!B44/100,0)*100</f>
        <v>32500</v>
      </c>
      <c r="K32" s="30"/>
    </row>
    <row r="33" customFormat="false" ht="19.5" hidden="false" customHeight="true" outlineLevel="0" collapsed="false">
      <c r="A33" s="20"/>
      <c r="B33" s="21" t="s">
        <v>123</v>
      </c>
      <c r="C33" s="22" t="s">
        <v>103</v>
      </c>
      <c r="D33" s="23" t="n">
        <v>5000</v>
      </c>
      <c r="E33" s="24" t="n">
        <f aca="false">ROUND(D33*'⚙️ BEÁLLÍTÁSOK'!B39/100,0)*100</f>
        <v>5000</v>
      </c>
      <c r="F33" s="24" t="n">
        <f aca="false">ROUND(D33*'⚙️ BEÁLLÍTÁSOK'!B40/100,0)*100</f>
        <v>5800</v>
      </c>
      <c r="G33" s="24" t="n">
        <f aca="false">ROUND(D33*'⚙️ BEÁLLÍTÁSOK'!B41/100,0)*100</f>
        <v>5400</v>
      </c>
      <c r="H33" s="24" t="n">
        <f aca="false">ROUND(D33*'⚙️ BEÁLLÍTÁSOK'!B42/100,0)*100</f>
        <v>5000</v>
      </c>
      <c r="I33" s="24" t="n">
        <f aca="false">ROUND(D33*'⚙️ BEÁLLÍTÁSOK'!B43/100,0)*100</f>
        <v>4700</v>
      </c>
      <c r="J33" s="24" t="n">
        <f aca="false">ROUND(D33*'⚙️ BEÁLLÍTÁSOK'!B44/100,0)*100</f>
        <v>6300</v>
      </c>
      <c r="K33" s="25"/>
    </row>
    <row r="34" customFormat="false" ht="19.5" hidden="false" customHeight="true" outlineLevel="0" collapsed="false">
      <c r="A34" s="26"/>
      <c r="B34" s="27" t="s">
        <v>124</v>
      </c>
      <c r="C34" s="28" t="s">
        <v>120</v>
      </c>
      <c r="D34" s="23" t="n">
        <v>20000</v>
      </c>
      <c r="E34" s="29" t="n">
        <f aca="false">ROUND(D34*'⚙️ BEÁLLÍTÁSOK'!B39/100,0)*100</f>
        <v>20000</v>
      </c>
      <c r="F34" s="29" t="n">
        <f aca="false">ROUND(D34*'⚙️ BEÁLLÍTÁSOK'!B40/100,0)*100</f>
        <v>23000</v>
      </c>
      <c r="G34" s="29" t="n">
        <f aca="false">ROUND(D34*'⚙️ BEÁLLÍTÁSOK'!B41/100,0)*100</f>
        <v>21600</v>
      </c>
      <c r="H34" s="29" t="n">
        <f aca="false">ROUND(D34*'⚙️ BEÁLLÍTÁSOK'!B42/100,0)*100</f>
        <v>20000</v>
      </c>
      <c r="I34" s="29" t="n">
        <f aca="false">ROUND(D34*'⚙️ BEÁLLÍTÁSOK'!B43/100,0)*100</f>
        <v>18600</v>
      </c>
      <c r="J34" s="29" t="n">
        <f aca="false">ROUND(D34*'⚙️ BEÁLLÍTÁSOK'!B44/100,0)*100</f>
        <v>25000</v>
      </c>
      <c r="K34" s="30"/>
    </row>
    <row r="35" customFormat="false" ht="19.5" hidden="false" customHeight="true" outlineLevel="0" collapsed="false">
      <c r="A35" s="20"/>
      <c r="B35" s="21" t="s">
        <v>125</v>
      </c>
      <c r="C35" s="22" t="s">
        <v>106</v>
      </c>
      <c r="D35" s="31" t="s">
        <v>86</v>
      </c>
      <c r="E35" s="32" t="s">
        <v>87</v>
      </c>
      <c r="F35" s="32" t="s">
        <v>87</v>
      </c>
      <c r="G35" s="32" t="s">
        <v>87</v>
      </c>
      <c r="H35" s="32" t="s">
        <v>87</v>
      </c>
      <c r="I35" s="32" t="s">
        <v>87</v>
      </c>
      <c r="J35" s="32" t="s">
        <v>87</v>
      </c>
      <c r="K35" s="25" t="s">
        <v>126</v>
      </c>
    </row>
    <row r="36" customFormat="false" ht="18" hidden="false" customHeight="true" outlineLevel="0" collapsed="false">
      <c r="A36" s="33" t="s">
        <v>127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customFormat="false" ht="19.5" hidden="false" customHeight="true" outlineLevel="0" collapsed="false">
      <c r="A37" s="20"/>
      <c r="B37" s="21" t="s">
        <v>128</v>
      </c>
      <c r="C37" s="22" t="s">
        <v>129</v>
      </c>
      <c r="D37" s="23" t="n">
        <v>14000</v>
      </c>
      <c r="E37" s="24" t="n">
        <f aca="false">ROUND(D37*'⚙️ BEÁLLÍTÁSOK'!B39/100,0)*100</f>
        <v>14000</v>
      </c>
      <c r="F37" s="24" t="n">
        <f aca="false">ROUND(D37*'⚙️ BEÁLLÍTÁSOK'!B40/100,0)*100</f>
        <v>16100</v>
      </c>
      <c r="G37" s="24" t="n">
        <f aca="false">ROUND(D37*'⚙️ BEÁLLÍTÁSOK'!B41/100,0)*100</f>
        <v>15100</v>
      </c>
      <c r="H37" s="24" t="n">
        <f aca="false">ROUND(D37*'⚙️ BEÁLLÍTÁSOK'!B42/100,0)*100</f>
        <v>14000</v>
      </c>
      <c r="I37" s="24" t="n">
        <f aca="false">ROUND(D37*'⚙️ BEÁLLÍTÁSOK'!B43/100,0)*100</f>
        <v>13000</v>
      </c>
      <c r="J37" s="24" t="n">
        <f aca="false">ROUND(D37*'⚙️ BEÁLLÍTÁSOK'!B44/100,0)*100</f>
        <v>17500</v>
      </c>
      <c r="K37" s="25"/>
    </row>
    <row r="38" customFormat="false" ht="19.5" hidden="false" customHeight="true" outlineLevel="0" collapsed="false">
      <c r="A38" s="26"/>
      <c r="B38" s="27" t="s">
        <v>130</v>
      </c>
      <c r="C38" s="28" t="s">
        <v>129</v>
      </c>
      <c r="D38" s="23" t="n">
        <v>9000</v>
      </c>
      <c r="E38" s="29" t="n">
        <f aca="false">ROUND(D38*'⚙️ BEÁLLÍTÁSOK'!B39/100,0)*100</f>
        <v>9000</v>
      </c>
      <c r="F38" s="29" t="n">
        <f aca="false">ROUND(D38*'⚙️ BEÁLLÍTÁSOK'!B40/100,0)*100</f>
        <v>10400</v>
      </c>
      <c r="G38" s="29" t="n">
        <f aca="false">ROUND(D38*'⚙️ BEÁLLÍTÁSOK'!B41/100,0)*100</f>
        <v>9700</v>
      </c>
      <c r="H38" s="29" t="n">
        <f aca="false">ROUND(D38*'⚙️ BEÁLLÍTÁSOK'!B42/100,0)*100</f>
        <v>9000</v>
      </c>
      <c r="I38" s="29" t="n">
        <f aca="false">ROUND(D38*'⚙️ BEÁLLÍTÁSOK'!B43/100,0)*100</f>
        <v>8400</v>
      </c>
      <c r="J38" s="29" t="n">
        <f aca="false">ROUND(D38*'⚙️ BEÁLLÍTÁSOK'!B44/100,0)*100</f>
        <v>11300</v>
      </c>
      <c r="K38" s="30"/>
    </row>
    <row r="39" customFormat="false" ht="19.5" hidden="false" customHeight="true" outlineLevel="0" collapsed="false">
      <c r="A39" s="20"/>
      <c r="B39" s="21" t="s">
        <v>131</v>
      </c>
      <c r="C39" s="22" t="s">
        <v>129</v>
      </c>
      <c r="D39" s="23" t="n">
        <v>11000</v>
      </c>
      <c r="E39" s="24" t="n">
        <f aca="false">ROUND(D39*'⚙️ BEÁLLÍTÁSOK'!B39/100,0)*100</f>
        <v>11000</v>
      </c>
      <c r="F39" s="24" t="n">
        <f aca="false">ROUND(D39*'⚙️ BEÁLLÍTÁSOK'!B40/100,0)*100</f>
        <v>12600</v>
      </c>
      <c r="G39" s="24" t="n">
        <f aca="false">ROUND(D39*'⚙️ BEÁLLÍTÁSOK'!B41/100,0)*100</f>
        <v>11900</v>
      </c>
      <c r="H39" s="24" t="n">
        <f aca="false">ROUND(D39*'⚙️ BEÁLLÍTÁSOK'!B42/100,0)*100</f>
        <v>11000</v>
      </c>
      <c r="I39" s="24" t="n">
        <f aca="false">ROUND(D39*'⚙️ BEÁLLÍTÁSOK'!B43/100,0)*100</f>
        <v>10200</v>
      </c>
      <c r="J39" s="24" t="n">
        <f aca="false">ROUND(D39*'⚙️ BEÁLLÍTÁSOK'!B44/100,0)*100</f>
        <v>13800</v>
      </c>
      <c r="K39" s="25"/>
    </row>
    <row r="40" customFormat="false" ht="19.5" hidden="false" customHeight="true" outlineLevel="0" collapsed="false">
      <c r="A40" s="26"/>
      <c r="B40" s="27" t="s">
        <v>132</v>
      </c>
      <c r="C40" s="28" t="s">
        <v>129</v>
      </c>
      <c r="D40" s="23" t="n">
        <v>8000</v>
      </c>
      <c r="E40" s="29" t="n">
        <f aca="false">ROUND(D40*'⚙️ BEÁLLÍTÁSOK'!B39/100,0)*100</f>
        <v>8000</v>
      </c>
      <c r="F40" s="29" t="n">
        <f aca="false">ROUND(D40*'⚙️ BEÁLLÍTÁSOK'!B40/100,0)*100</f>
        <v>9200</v>
      </c>
      <c r="G40" s="29" t="n">
        <f aca="false">ROUND(D40*'⚙️ BEÁLLÍTÁSOK'!B41/100,0)*100</f>
        <v>8600</v>
      </c>
      <c r="H40" s="29" t="n">
        <f aca="false">ROUND(D40*'⚙️ BEÁLLÍTÁSOK'!B42/100,0)*100</f>
        <v>8000</v>
      </c>
      <c r="I40" s="29" t="n">
        <f aca="false">ROUND(D40*'⚙️ BEÁLLÍTÁSOK'!B43/100,0)*100</f>
        <v>7400</v>
      </c>
      <c r="J40" s="29" t="n">
        <f aca="false">ROUND(D40*'⚙️ BEÁLLÍTÁSOK'!B44/100,0)*100</f>
        <v>10000</v>
      </c>
      <c r="K40" s="30"/>
    </row>
    <row r="41" customFormat="false" ht="19.5" hidden="false" customHeight="true" outlineLevel="0" collapsed="false">
      <c r="A41" s="20"/>
      <c r="B41" s="21" t="s">
        <v>133</v>
      </c>
      <c r="C41" s="22" t="s">
        <v>129</v>
      </c>
      <c r="D41" s="23" t="n">
        <v>5500</v>
      </c>
      <c r="E41" s="24" t="n">
        <f aca="false">ROUND(D41*'⚙️ BEÁLLÍTÁSOK'!B39/100,0)*100</f>
        <v>5500</v>
      </c>
      <c r="F41" s="24" t="n">
        <f aca="false">ROUND(D41*'⚙️ BEÁLLÍTÁSOK'!B40/100,0)*100</f>
        <v>6300</v>
      </c>
      <c r="G41" s="24" t="n">
        <f aca="false">ROUND(D41*'⚙️ BEÁLLÍTÁSOK'!B41/100,0)*100</f>
        <v>5900</v>
      </c>
      <c r="H41" s="24" t="n">
        <f aca="false">ROUND(D41*'⚙️ BEÁLLÍTÁSOK'!B42/100,0)*100</f>
        <v>5500</v>
      </c>
      <c r="I41" s="24" t="n">
        <f aca="false">ROUND(D41*'⚙️ BEÁLLÍTÁSOK'!B43/100,0)*100</f>
        <v>5100</v>
      </c>
      <c r="J41" s="24" t="n">
        <f aca="false">ROUND(D41*'⚙️ BEÁLLÍTÁSOK'!B44/100,0)*100</f>
        <v>6900</v>
      </c>
      <c r="K41" s="25"/>
    </row>
    <row r="42" customFormat="false" ht="19.5" hidden="false" customHeight="true" outlineLevel="0" collapsed="false">
      <c r="A42" s="26"/>
      <c r="B42" s="27" t="s">
        <v>134</v>
      </c>
      <c r="C42" s="28" t="s">
        <v>106</v>
      </c>
      <c r="D42" s="34" t="s">
        <v>86</v>
      </c>
      <c r="E42" s="35" t="s">
        <v>87</v>
      </c>
      <c r="F42" s="35" t="s">
        <v>87</v>
      </c>
      <c r="G42" s="35" t="s">
        <v>87</v>
      </c>
      <c r="H42" s="35" t="s">
        <v>87</v>
      </c>
      <c r="I42" s="35" t="s">
        <v>87</v>
      </c>
      <c r="J42" s="35" t="s">
        <v>87</v>
      </c>
      <c r="K42" s="30" t="s">
        <v>135</v>
      </c>
    </row>
    <row r="43" customFormat="false" ht="19.5" hidden="false" customHeight="true" outlineLevel="0" collapsed="false">
      <c r="A43" s="20"/>
      <c r="B43" s="21" t="s">
        <v>136</v>
      </c>
      <c r="C43" s="22" t="s">
        <v>106</v>
      </c>
      <c r="D43" s="31" t="s">
        <v>86</v>
      </c>
      <c r="E43" s="32" t="s">
        <v>87</v>
      </c>
      <c r="F43" s="32" t="s">
        <v>87</v>
      </c>
      <c r="G43" s="32" t="s">
        <v>87</v>
      </c>
      <c r="H43" s="32" t="s">
        <v>87</v>
      </c>
      <c r="I43" s="32" t="s">
        <v>87</v>
      </c>
      <c r="J43" s="32" t="s">
        <v>87</v>
      </c>
      <c r="K43" s="25" t="s">
        <v>137</v>
      </c>
    </row>
    <row r="44" customFormat="false" ht="19.5" hidden="false" customHeight="true" outlineLevel="0" collapsed="false">
      <c r="A44" s="26"/>
      <c r="B44" s="27" t="s">
        <v>138</v>
      </c>
      <c r="C44" s="28" t="s">
        <v>106</v>
      </c>
      <c r="D44" s="34" t="s">
        <v>86</v>
      </c>
      <c r="E44" s="35" t="s">
        <v>87</v>
      </c>
      <c r="F44" s="35" t="s">
        <v>87</v>
      </c>
      <c r="G44" s="35" t="s">
        <v>87</v>
      </c>
      <c r="H44" s="35" t="s">
        <v>87</v>
      </c>
      <c r="I44" s="35" t="s">
        <v>87</v>
      </c>
      <c r="J44" s="35" t="s">
        <v>87</v>
      </c>
      <c r="K44" s="30" t="s">
        <v>137</v>
      </c>
    </row>
    <row r="45" customFormat="false" ht="18" hidden="false" customHeight="true" outlineLevel="0" collapsed="false">
      <c r="A45" s="33" t="s">
        <v>139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customFormat="false" ht="19.5" hidden="false" customHeight="true" outlineLevel="0" collapsed="false">
      <c r="A46" s="20"/>
      <c r="B46" s="21" t="s">
        <v>140</v>
      </c>
      <c r="C46" s="22" t="s">
        <v>101</v>
      </c>
      <c r="D46" s="23" t="n">
        <v>7000</v>
      </c>
      <c r="E46" s="24" t="n">
        <f aca="false">ROUND(D46*'⚙️ BEÁLLÍTÁSOK'!B39/100,0)*100</f>
        <v>7000</v>
      </c>
      <c r="F46" s="24" t="n">
        <f aca="false">ROUND(D46*'⚙️ BEÁLLÍTÁSOK'!B40/100,0)*100</f>
        <v>8000</v>
      </c>
      <c r="G46" s="24" t="n">
        <f aca="false">ROUND(D46*'⚙️ BEÁLLÍTÁSOK'!B41/100,0)*100</f>
        <v>7600</v>
      </c>
      <c r="H46" s="24" t="n">
        <f aca="false">ROUND(D46*'⚙️ BEÁLLÍTÁSOK'!B42/100,0)*100</f>
        <v>7000</v>
      </c>
      <c r="I46" s="24" t="n">
        <f aca="false">ROUND(D46*'⚙️ BEÁLLÍTÁSOK'!B43/100,0)*100</f>
        <v>6500</v>
      </c>
      <c r="J46" s="24" t="n">
        <f aca="false">ROUND(D46*'⚙️ BEÁLLÍTÁSOK'!B44/100,0)*100</f>
        <v>8800</v>
      </c>
      <c r="K46" s="25" t="s">
        <v>141</v>
      </c>
    </row>
    <row r="47" customFormat="false" ht="19.5" hidden="false" customHeight="true" outlineLevel="0" collapsed="false">
      <c r="A47" s="26"/>
      <c r="B47" s="27" t="s">
        <v>142</v>
      </c>
      <c r="C47" s="28" t="s">
        <v>98</v>
      </c>
      <c r="D47" s="23" t="n">
        <v>1400</v>
      </c>
      <c r="E47" s="29" t="n">
        <f aca="false">ROUND(D47*'⚙️ BEÁLLÍTÁSOK'!B39/100,0)*100</f>
        <v>1400</v>
      </c>
      <c r="F47" s="29" t="n">
        <f aca="false">ROUND(D47*'⚙️ BEÁLLÍTÁSOK'!B40/100,0)*100</f>
        <v>1600</v>
      </c>
      <c r="G47" s="29" t="n">
        <f aca="false">ROUND(D47*'⚙️ BEÁLLÍTÁSOK'!B41/100,0)*100</f>
        <v>1500</v>
      </c>
      <c r="H47" s="29" t="n">
        <f aca="false">ROUND(D47*'⚙️ BEÁLLÍTÁSOK'!B42/100,0)*100</f>
        <v>1400</v>
      </c>
      <c r="I47" s="29" t="n">
        <f aca="false">ROUND(D47*'⚙️ BEÁLLÍTÁSOK'!B43/100,0)*100</f>
        <v>1300</v>
      </c>
      <c r="J47" s="29" t="n">
        <f aca="false">ROUND(D47*'⚙️ BEÁLLÍTÁSOK'!B44/100,0)*100</f>
        <v>1800</v>
      </c>
      <c r="K47" s="30"/>
    </row>
    <row r="48" customFormat="false" ht="19.5" hidden="false" customHeight="true" outlineLevel="0" collapsed="false">
      <c r="A48" s="20"/>
      <c r="B48" s="21" t="s">
        <v>143</v>
      </c>
      <c r="C48" s="22" t="s">
        <v>80</v>
      </c>
      <c r="D48" s="23" t="n">
        <v>5000</v>
      </c>
      <c r="E48" s="24" t="n">
        <f aca="false">ROUND(D48*'⚙️ BEÁLLÍTÁSOK'!B39/100,0)*100</f>
        <v>5000</v>
      </c>
      <c r="F48" s="24" t="n">
        <f aca="false">ROUND(D48*'⚙️ BEÁLLÍTÁSOK'!B40/100,0)*100</f>
        <v>5800</v>
      </c>
      <c r="G48" s="24" t="n">
        <f aca="false">ROUND(D48*'⚙️ BEÁLLÍTÁSOK'!B41/100,0)*100</f>
        <v>5400</v>
      </c>
      <c r="H48" s="24" t="n">
        <f aca="false">ROUND(D48*'⚙️ BEÁLLÍTÁSOK'!B42/100,0)*100</f>
        <v>5000</v>
      </c>
      <c r="I48" s="24" t="n">
        <f aca="false">ROUND(D48*'⚙️ BEÁLLÍTÁSOK'!B43/100,0)*100</f>
        <v>4700</v>
      </c>
      <c r="J48" s="24" t="n">
        <f aca="false">ROUND(D48*'⚙️ BEÁLLÍTÁSOK'!B44/100,0)*100</f>
        <v>6300</v>
      </c>
      <c r="K48" s="25"/>
    </row>
    <row r="49" customFormat="false" ht="19.5" hidden="false" customHeight="true" outlineLevel="0" collapsed="false">
      <c r="A49" s="26"/>
      <c r="B49" s="27" t="s">
        <v>144</v>
      </c>
      <c r="C49" s="28" t="s">
        <v>92</v>
      </c>
      <c r="D49" s="23" t="n">
        <v>30000</v>
      </c>
      <c r="E49" s="29" t="n">
        <f aca="false">ROUND(D49*'⚙️ BEÁLLÍTÁSOK'!B39/100,0)*100</f>
        <v>30000</v>
      </c>
      <c r="F49" s="29" t="n">
        <f aca="false">ROUND(D49*'⚙️ BEÁLLÍTÁSOK'!B40/100,0)*100</f>
        <v>34500</v>
      </c>
      <c r="G49" s="29" t="n">
        <f aca="false">ROUND(D49*'⚙️ BEÁLLÍTÁSOK'!B41/100,0)*100</f>
        <v>32400</v>
      </c>
      <c r="H49" s="29" t="n">
        <f aca="false">ROUND(D49*'⚙️ BEÁLLÍTÁSOK'!B42/100,0)*100</f>
        <v>30000</v>
      </c>
      <c r="I49" s="29" t="n">
        <f aca="false">ROUND(D49*'⚙️ BEÁLLÍTÁSOK'!B43/100,0)*100</f>
        <v>27900</v>
      </c>
      <c r="J49" s="29" t="n">
        <f aca="false">ROUND(D49*'⚙️ BEÁLLÍTÁSOK'!B44/100,0)*100</f>
        <v>37500</v>
      </c>
      <c r="K49" s="30"/>
    </row>
    <row r="50" customFormat="false" ht="21.75" hidden="false" customHeight="true" outlineLevel="0" collapsed="false">
      <c r="A50" s="19" t="s">
        <v>145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customFormat="false" ht="12.75" hidden="false" customHeight="true" outlineLevel="0" collapsed="false">
      <c r="A51" s="12" t="s">
        <v>146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customFormat="false" ht="19.5" hidden="false" customHeight="true" outlineLevel="0" collapsed="false">
      <c r="A52" s="20"/>
      <c r="B52" s="21" t="s">
        <v>147</v>
      </c>
      <c r="C52" s="22" t="s">
        <v>92</v>
      </c>
      <c r="D52" s="23" t="n">
        <v>16000</v>
      </c>
      <c r="E52" s="24" t="n">
        <f aca="false">ROUND(D52*'⚙️ BEÁLLÍTÁSOK'!B39/100,0)*100</f>
        <v>16000</v>
      </c>
      <c r="F52" s="24" t="n">
        <f aca="false">ROUND(D52*'⚙️ BEÁLLÍTÁSOK'!B40/100,0)*100</f>
        <v>18400</v>
      </c>
      <c r="G52" s="24" t="n">
        <f aca="false">ROUND(D52*'⚙️ BEÁLLÍTÁSOK'!B41/100,0)*100</f>
        <v>17300</v>
      </c>
      <c r="H52" s="24" t="n">
        <f aca="false">ROUND(D52*'⚙️ BEÁLLÍTÁSOK'!B42/100,0)*100</f>
        <v>16000</v>
      </c>
      <c r="I52" s="24" t="n">
        <f aca="false">ROUND(D52*'⚙️ BEÁLLÍTÁSOK'!B43/100,0)*100</f>
        <v>14900</v>
      </c>
      <c r="J52" s="24" t="n">
        <f aca="false">ROUND(D52*'⚙️ BEÁLLÍTÁSOK'!B44/100,0)*100</f>
        <v>20000</v>
      </c>
      <c r="K52" s="25" t="s">
        <v>148</v>
      </c>
    </row>
    <row r="53" customFormat="false" ht="19.5" hidden="false" customHeight="true" outlineLevel="0" collapsed="false">
      <c r="A53" s="26"/>
      <c r="B53" s="27" t="s">
        <v>149</v>
      </c>
      <c r="C53" s="28" t="s">
        <v>109</v>
      </c>
      <c r="D53" s="23" t="n">
        <v>40000</v>
      </c>
      <c r="E53" s="29" t="n">
        <f aca="false">ROUND(D53*'⚙️ BEÁLLÍTÁSOK'!B39/100,0)*100</f>
        <v>40000</v>
      </c>
      <c r="F53" s="29" t="n">
        <f aca="false">ROUND(D53*'⚙️ BEÁLLÍTÁSOK'!B40/100,0)*100</f>
        <v>46000</v>
      </c>
      <c r="G53" s="29" t="n">
        <f aca="false">ROUND(D53*'⚙️ BEÁLLÍTÁSOK'!B41/100,0)*100</f>
        <v>43200</v>
      </c>
      <c r="H53" s="29" t="n">
        <f aca="false">ROUND(D53*'⚙️ BEÁLLÍTÁSOK'!B42/100,0)*100</f>
        <v>40000</v>
      </c>
      <c r="I53" s="29" t="n">
        <f aca="false">ROUND(D53*'⚙️ BEÁLLÍTÁSOK'!B43/100,0)*100</f>
        <v>37200</v>
      </c>
      <c r="J53" s="29" t="n">
        <f aca="false">ROUND(D53*'⚙️ BEÁLLÍTÁSOK'!B44/100,0)*100</f>
        <v>50000</v>
      </c>
      <c r="K53" s="30"/>
    </row>
    <row r="54" customFormat="false" ht="19.5" hidden="false" customHeight="true" outlineLevel="0" collapsed="false">
      <c r="A54" s="20"/>
      <c r="B54" s="21" t="s">
        <v>150</v>
      </c>
      <c r="C54" s="22" t="s">
        <v>109</v>
      </c>
      <c r="D54" s="23" t="n">
        <v>65000</v>
      </c>
      <c r="E54" s="24" t="n">
        <f aca="false">ROUND(D54*'⚙️ BEÁLLÍTÁSOK'!B39/100,0)*100</f>
        <v>65000</v>
      </c>
      <c r="F54" s="24" t="n">
        <f aca="false">ROUND(D54*'⚙️ BEÁLLÍTÁSOK'!B40/100,0)*100</f>
        <v>74800</v>
      </c>
      <c r="G54" s="24" t="n">
        <f aca="false">ROUND(D54*'⚙️ BEÁLLÍTÁSOK'!B41/100,0)*100</f>
        <v>70200</v>
      </c>
      <c r="H54" s="24" t="n">
        <f aca="false">ROUND(D54*'⚙️ BEÁLLÍTÁSOK'!B42/100,0)*100</f>
        <v>65000</v>
      </c>
      <c r="I54" s="24" t="n">
        <f aca="false">ROUND(D54*'⚙️ BEÁLLÍTÁSOK'!B43/100,0)*100</f>
        <v>60500</v>
      </c>
      <c r="J54" s="24" t="n">
        <f aca="false">ROUND(D54*'⚙️ BEÁLLÍTÁSOK'!B44/100,0)*100</f>
        <v>81300</v>
      </c>
      <c r="K54" s="25" t="s">
        <v>151</v>
      </c>
    </row>
    <row r="55" customFormat="false" ht="19.5" hidden="false" customHeight="true" outlineLevel="0" collapsed="false">
      <c r="A55" s="26"/>
      <c r="B55" s="27" t="s">
        <v>152</v>
      </c>
      <c r="C55" s="28" t="s">
        <v>109</v>
      </c>
      <c r="D55" s="23" t="n">
        <v>130000</v>
      </c>
      <c r="E55" s="29" t="n">
        <f aca="false">ROUND(D55*'⚙️ BEÁLLÍTÁSOK'!B39/100,0)*100</f>
        <v>130000</v>
      </c>
      <c r="F55" s="29" t="n">
        <f aca="false">ROUND(D55*'⚙️ BEÁLLÍTÁSOK'!B40/100,0)*100</f>
        <v>149500</v>
      </c>
      <c r="G55" s="29" t="n">
        <f aca="false">ROUND(D55*'⚙️ BEÁLLÍTÁSOK'!B41/100,0)*100</f>
        <v>140400</v>
      </c>
      <c r="H55" s="29" t="n">
        <f aca="false">ROUND(D55*'⚙️ BEÁLLÍTÁSOK'!B42/100,0)*100</f>
        <v>130000</v>
      </c>
      <c r="I55" s="29" t="n">
        <f aca="false">ROUND(D55*'⚙️ BEÁLLÍTÁSOK'!B43/100,0)*100</f>
        <v>120900</v>
      </c>
      <c r="J55" s="29" t="n">
        <f aca="false">ROUND(D55*'⚙️ BEÁLLÍTÁSOK'!B44/100,0)*100</f>
        <v>162500</v>
      </c>
      <c r="K55" s="30"/>
    </row>
    <row r="56" customFormat="false" ht="19.5" hidden="false" customHeight="true" outlineLevel="0" collapsed="false">
      <c r="A56" s="20"/>
      <c r="B56" s="21" t="s">
        <v>153</v>
      </c>
      <c r="C56" s="22" t="s">
        <v>109</v>
      </c>
      <c r="D56" s="31" t="s">
        <v>86</v>
      </c>
      <c r="E56" s="32" t="s">
        <v>87</v>
      </c>
      <c r="F56" s="32" t="s">
        <v>87</v>
      </c>
      <c r="G56" s="32" t="s">
        <v>87</v>
      </c>
      <c r="H56" s="32" t="s">
        <v>87</v>
      </c>
      <c r="I56" s="32" t="s">
        <v>87</v>
      </c>
      <c r="J56" s="32" t="s">
        <v>87</v>
      </c>
      <c r="K56" s="25" t="s">
        <v>154</v>
      </c>
    </row>
    <row r="57" customFormat="false" ht="18" hidden="false" customHeight="true" outlineLevel="0" collapsed="false">
      <c r="A57" s="33" t="s">
        <v>155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 customFormat="false" ht="19.5" hidden="false" customHeight="true" outlineLevel="0" collapsed="false">
      <c r="A58" s="20"/>
      <c r="B58" s="21" t="s">
        <v>156</v>
      </c>
      <c r="C58" s="22" t="s">
        <v>101</v>
      </c>
      <c r="D58" s="23" t="n">
        <v>13000</v>
      </c>
      <c r="E58" s="24" t="n">
        <f aca="false">ROUND(D58*'⚙️ BEÁLLÍTÁSOK'!B39/100,0)*100</f>
        <v>13000</v>
      </c>
      <c r="F58" s="24" t="n">
        <f aca="false">ROUND(D58*'⚙️ BEÁLLÍTÁSOK'!B40/100,0)*100</f>
        <v>14900</v>
      </c>
      <c r="G58" s="24" t="n">
        <f aca="false">ROUND(D58*'⚙️ BEÁLLÍTÁSOK'!B41/100,0)*100</f>
        <v>14000</v>
      </c>
      <c r="H58" s="24" t="n">
        <f aca="false">ROUND(D58*'⚙️ BEÁLLÍTÁSOK'!B42/100,0)*100</f>
        <v>13000</v>
      </c>
      <c r="I58" s="24" t="n">
        <f aca="false">ROUND(D58*'⚙️ BEÁLLÍTÁSOK'!B43/100,0)*100</f>
        <v>12100</v>
      </c>
      <c r="J58" s="24" t="n">
        <f aca="false">ROUND(D58*'⚙️ BEÁLLÍTÁSOK'!B44/100,0)*100</f>
        <v>16300</v>
      </c>
      <c r="K58" s="25"/>
    </row>
    <row r="59" customFormat="false" ht="19.5" hidden="false" customHeight="true" outlineLevel="0" collapsed="false">
      <c r="A59" s="26"/>
      <c r="B59" s="27" t="s">
        <v>157</v>
      </c>
      <c r="C59" s="28" t="s">
        <v>101</v>
      </c>
      <c r="D59" s="23" t="n">
        <v>24000</v>
      </c>
      <c r="E59" s="29" t="n">
        <f aca="false">ROUND(D59*'⚙️ BEÁLLÍTÁSOK'!B39/100,0)*100</f>
        <v>24000</v>
      </c>
      <c r="F59" s="29" t="n">
        <f aca="false">ROUND(D59*'⚙️ BEÁLLÍTÁSOK'!B40/100,0)*100</f>
        <v>27600</v>
      </c>
      <c r="G59" s="29" t="n">
        <f aca="false">ROUND(D59*'⚙️ BEÁLLÍTÁSOK'!B41/100,0)*100</f>
        <v>25900</v>
      </c>
      <c r="H59" s="29" t="n">
        <f aca="false">ROUND(D59*'⚙️ BEÁLLÍTÁSOK'!B42/100,0)*100</f>
        <v>24000</v>
      </c>
      <c r="I59" s="29" t="n">
        <f aca="false">ROUND(D59*'⚙️ BEÁLLÍTÁSOK'!B43/100,0)*100</f>
        <v>22300</v>
      </c>
      <c r="J59" s="29" t="n">
        <f aca="false">ROUND(D59*'⚙️ BEÁLLÍTÁSOK'!B44/100,0)*100</f>
        <v>30000</v>
      </c>
      <c r="K59" s="30"/>
    </row>
    <row r="60" customFormat="false" ht="19.5" hidden="false" customHeight="true" outlineLevel="0" collapsed="false">
      <c r="A60" s="20"/>
      <c r="B60" s="21" t="s">
        <v>158</v>
      </c>
      <c r="C60" s="22" t="s">
        <v>109</v>
      </c>
      <c r="D60" s="23" t="n">
        <v>40000</v>
      </c>
      <c r="E60" s="24" t="n">
        <f aca="false">ROUND(D60*'⚙️ BEÁLLÍTÁSOK'!B39/100,0)*100</f>
        <v>40000</v>
      </c>
      <c r="F60" s="24" t="n">
        <f aca="false">ROUND(D60*'⚙️ BEÁLLÍTÁSOK'!B40/100,0)*100</f>
        <v>46000</v>
      </c>
      <c r="G60" s="24" t="n">
        <f aca="false">ROUND(D60*'⚙️ BEÁLLÍTÁSOK'!B41/100,0)*100</f>
        <v>43200</v>
      </c>
      <c r="H60" s="24" t="n">
        <f aca="false">ROUND(D60*'⚙️ BEÁLLÍTÁSOK'!B42/100,0)*100</f>
        <v>40000</v>
      </c>
      <c r="I60" s="24" t="n">
        <f aca="false">ROUND(D60*'⚙️ BEÁLLÍTÁSOK'!B43/100,0)*100</f>
        <v>37200</v>
      </c>
      <c r="J60" s="24" t="n">
        <f aca="false">ROUND(D60*'⚙️ BEÁLLÍTÁSOK'!B44/100,0)*100</f>
        <v>50000</v>
      </c>
      <c r="K60" s="25"/>
    </row>
    <row r="61" customFormat="false" ht="19.5" hidden="false" customHeight="true" outlineLevel="0" collapsed="false">
      <c r="A61" s="26"/>
      <c r="B61" s="27" t="s">
        <v>159</v>
      </c>
      <c r="C61" s="28" t="s">
        <v>109</v>
      </c>
      <c r="D61" s="23" t="n">
        <v>52000</v>
      </c>
      <c r="E61" s="29" t="n">
        <f aca="false">ROUND(D61*'⚙️ BEÁLLÍTÁSOK'!B39/100,0)*100</f>
        <v>52000</v>
      </c>
      <c r="F61" s="29" t="n">
        <f aca="false">ROUND(D61*'⚙️ BEÁLLÍTÁSOK'!B40/100,0)*100</f>
        <v>59800</v>
      </c>
      <c r="G61" s="29" t="n">
        <f aca="false">ROUND(D61*'⚙️ BEÁLLÍTÁSOK'!B41/100,0)*100</f>
        <v>56200</v>
      </c>
      <c r="H61" s="29" t="n">
        <f aca="false">ROUND(D61*'⚙️ BEÁLLÍTÁSOK'!B42/100,0)*100</f>
        <v>52000</v>
      </c>
      <c r="I61" s="29" t="n">
        <f aca="false">ROUND(D61*'⚙️ BEÁLLÍTÁSOK'!B43/100,0)*100</f>
        <v>48400</v>
      </c>
      <c r="J61" s="29" t="n">
        <f aca="false">ROUND(D61*'⚙️ BEÁLLÍTÁSOK'!B44/100,0)*100</f>
        <v>65000</v>
      </c>
      <c r="K61" s="30"/>
    </row>
    <row r="62" customFormat="false" ht="19.5" hidden="false" customHeight="true" outlineLevel="0" collapsed="false">
      <c r="A62" s="20"/>
      <c r="B62" s="21" t="s">
        <v>160</v>
      </c>
      <c r="C62" s="22" t="s">
        <v>103</v>
      </c>
      <c r="D62" s="23" t="n">
        <v>7500</v>
      </c>
      <c r="E62" s="24" t="n">
        <f aca="false">ROUND(D62*'⚙️ BEÁLLÍTÁSOK'!B39/100,0)*100</f>
        <v>7500</v>
      </c>
      <c r="F62" s="24" t="n">
        <f aca="false">ROUND(D62*'⚙️ BEÁLLÍTÁSOK'!B40/100,0)*100</f>
        <v>8600</v>
      </c>
      <c r="G62" s="24" t="n">
        <f aca="false">ROUND(D62*'⚙️ BEÁLLÍTÁSOK'!B41/100,0)*100</f>
        <v>8100</v>
      </c>
      <c r="H62" s="24" t="n">
        <f aca="false">ROUND(D62*'⚙️ BEÁLLÍTÁSOK'!B42/100,0)*100</f>
        <v>7500</v>
      </c>
      <c r="I62" s="24" t="n">
        <f aca="false">ROUND(D62*'⚙️ BEÁLLÍTÁSOK'!B43/100,0)*100</f>
        <v>7000</v>
      </c>
      <c r="J62" s="24" t="n">
        <f aca="false">ROUND(D62*'⚙️ BEÁLLÍTÁSOK'!B44/100,0)*100</f>
        <v>9400</v>
      </c>
      <c r="K62" s="25"/>
    </row>
    <row r="63" customFormat="false" ht="19.5" hidden="false" customHeight="true" outlineLevel="0" collapsed="false">
      <c r="A63" s="26"/>
      <c r="B63" s="27" t="s">
        <v>161</v>
      </c>
      <c r="C63" s="28" t="s">
        <v>162</v>
      </c>
      <c r="D63" s="23" t="n">
        <v>32000</v>
      </c>
      <c r="E63" s="29" t="n">
        <f aca="false">ROUND(D63*'⚙️ BEÁLLÍTÁSOK'!B39/100,0)*100</f>
        <v>32000</v>
      </c>
      <c r="F63" s="29" t="n">
        <f aca="false">ROUND(D63*'⚙️ BEÁLLÍTÁSOK'!B40/100,0)*100</f>
        <v>36800</v>
      </c>
      <c r="G63" s="29" t="n">
        <f aca="false">ROUND(D63*'⚙️ BEÁLLÍTÁSOK'!B41/100,0)*100</f>
        <v>34600</v>
      </c>
      <c r="H63" s="29" t="n">
        <f aca="false">ROUND(D63*'⚙️ BEÁLLÍTÁSOK'!B42/100,0)*100</f>
        <v>32000</v>
      </c>
      <c r="I63" s="29" t="n">
        <f aca="false">ROUND(D63*'⚙️ BEÁLLÍTÁSOK'!B43/100,0)*100</f>
        <v>29800</v>
      </c>
      <c r="J63" s="29" t="n">
        <f aca="false">ROUND(D63*'⚙️ BEÁLLÍTÁSOK'!B44/100,0)*100</f>
        <v>40000</v>
      </c>
      <c r="K63" s="30"/>
    </row>
    <row r="64" customFormat="false" ht="18" hidden="false" customHeight="true" outlineLevel="0" collapsed="false">
      <c r="A64" s="33" t="s">
        <v>163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 customFormat="false" ht="19.5" hidden="false" customHeight="true" outlineLevel="0" collapsed="false">
      <c r="A65" s="20"/>
      <c r="B65" s="21" t="s">
        <v>164</v>
      </c>
      <c r="C65" s="22" t="s">
        <v>101</v>
      </c>
      <c r="D65" s="23" t="n">
        <v>13000</v>
      </c>
      <c r="E65" s="24" t="n">
        <f aca="false">ROUND(D65*'⚙️ BEÁLLÍTÁSOK'!B39/100,0)*100</f>
        <v>13000</v>
      </c>
      <c r="F65" s="24" t="n">
        <f aca="false">ROUND(D65*'⚙️ BEÁLLÍTÁSOK'!B40/100,0)*100</f>
        <v>14900</v>
      </c>
      <c r="G65" s="24" t="n">
        <f aca="false">ROUND(D65*'⚙️ BEÁLLÍTÁSOK'!B41/100,0)*100</f>
        <v>14000</v>
      </c>
      <c r="H65" s="24" t="n">
        <f aca="false">ROUND(D65*'⚙️ BEÁLLÍTÁSOK'!B42/100,0)*100</f>
        <v>13000</v>
      </c>
      <c r="I65" s="24" t="n">
        <f aca="false">ROUND(D65*'⚙️ BEÁLLÍTÁSOK'!B43/100,0)*100</f>
        <v>12100</v>
      </c>
      <c r="J65" s="24" t="n">
        <f aca="false">ROUND(D65*'⚙️ BEÁLLÍTÁSOK'!B44/100,0)*100</f>
        <v>16300</v>
      </c>
      <c r="K65" s="25" t="s">
        <v>151</v>
      </c>
    </row>
    <row r="66" customFormat="false" ht="19.5" hidden="false" customHeight="true" outlineLevel="0" collapsed="false">
      <c r="A66" s="26"/>
      <c r="B66" s="27" t="s">
        <v>165</v>
      </c>
      <c r="C66" s="28" t="s">
        <v>109</v>
      </c>
      <c r="D66" s="23" t="n">
        <v>58000</v>
      </c>
      <c r="E66" s="29" t="n">
        <f aca="false">ROUND(D66*'⚙️ BEÁLLÍTÁSOK'!B39/100,0)*100</f>
        <v>58000</v>
      </c>
      <c r="F66" s="29" t="n">
        <f aca="false">ROUND(D66*'⚙️ BEÁLLÍTÁSOK'!B40/100,0)*100</f>
        <v>66700</v>
      </c>
      <c r="G66" s="29" t="n">
        <f aca="false">ROUND(D66*'⚙️ BEÁLLÍTÁSOK'!B41/100,0)*100</f>
        <v>62600</v>
      </c>
      <c r="H66" s="29" t="n">
        <f aca="false">ROUND(D66*'⚙️ BEÁLLÍTÁSOK'!B42/100,0)*100</f>
        <v>58000</v>
      </c>
      <c r="I66" s="29" t="n">
        <f aca="false">ROUND(D66*'⚙️ BEÁLLÍTÁSOK'!B43/100,0)*100</f>
        <v>53900</v>
      </c>
      <c r="J66" s="29" t="n">
        <f aca="false">ROUND(D66*'⚙️ BEÁLLÍTÁSOK'!B44/100,0)*100</f>
        <v>72500</v>
      </c>
      <c r="K66" s="30" t="s">
        <v>151</v>
      </c>
    </row>
    <row r="67" customFormat="false" ht="19.5" hidden="false" customHeight="true" outlineLevel="0" collapsed="false">
      <c r="A67" s="20"/>
      <c r="B67" s="21" t="s">
        <v>166</v>
      </c>
      <c r="C67" s="22" t="s">
        <v>109</v>
      </c>
      <c r="D67" s="23" t="n">
        <v>17000</v>
      </c>
      <c r="E67" s="24" t="n">
        <f aca="false">ROUND(D67*'⚙️ BEÁLLÍTÁSOK'!B39/100,0)*100</f>
        <v>17000</v>
      </c>
      <c r="F67" s="24" t="n">
        <f aca="false">ROUND(D67*'⚙️ BEÁLLÍTÁSOK'!B40/100,0)*100</f>
        <v>19600</v>
      </c>
      <c r="G67" s="24" t="n">
        <f aca="false">ROUND(D67*'⚙️ BEÁLLÍTÁSOK'!B41/100,0)*100</f>
        <v>18400</v>
      </c>
      <c r="H67" s="24" t="n">
        <f aca="false">ROUND(D67*'⚙️ BEÁLLÍTÁSOK'!B42/100,0)*100</f>
        <v>17000</v>
      </c>
      <c r="I67" s="24" t="n">
        <f aca="false">ROUND(D67*'⚙️ BEÁLLÍTÁSOK'!B43/100,0)*100</f>
        <v>15800</v>
      </c>
      <c r="J67" s="24" t="n">
        <f aca="false">ROUND(D67*'⚙️ BEÁLLÍTÁSOK'!B44/100,0)*100</f>
        <v>21300</v>
      </c>
      <c r="K67" s="25"/>
    </row>
    <row r="68" customFormat="false" ht="19.5" hidden="false" customHeight="true" outlineLevel="0" collapsed="false">
      <c r="A68" s="26"/>
      <c r="B68" s="27" t="s">
        <v>167</v>
      </c>
      <c r="C68" s="28" t="s">
        <v>101</v>
      </c>
      <c r="D68" s="23" t="n">
        <v>21000</v>
      </c>
      <c r="E68" s="29" t="n">
        <f aca="false">ROUND(D68*'⚙️ BEÁLLÍTÁSOK'!B39/100,0)*100</f>
        <v>21000</v>
      </c>
      <c r="F68" s="29" t="n">
        <f aca="false">ROUND(D68*'⚙️ BEÁLLÍTÁSOK'!B40/100,0)*100</f>
        <v>24100</v>
      </c>
      <c r="G68" s="29" t="n">
        <f aca="false">ROUND(D68*'⚙️ BEÁLLÍTÁSOK'!B41/100,0)*100</f>
        <v>22700</v>
      </c>
      <c r="H68" s="29" t="n">
        <f aca="false">ROUND(D68*'⚙️ BEÁLLÍTÁSOK'!B42/100,0)*100</f>
        <v>21000</v>
      </c>
      <c r="I68" s="29" t="n">
        <f aca="false">ROUND(D68*'⚙️ BEÁLLÍTÁSOK'!B43/100,0)*100</f>
        <v>19500</v>
      </c>
      <c r="J68" s="29" t="n">
        <f aca="false">ROUND(D68*'⚙️ BEÁLLÍTÁSOK'!B44/100,0)*100</f>
        <v>26300</v>
      </c>
      <c r="K68" s="30"/>
    </row>
    <row r="69" customFormat="false" ht="19.5" hidden="false" customHeight="true" outlineLevel="0" collapsed="false">
      <c r="A69" s="20"/>
      <c r="B69" s="21" t="s">
        <v>168</v>
      </c>
      <c r="C69" s="22" t="s">
        <v>109</v>
      </c>
      <c r="D69" s="23" t="n">
        <v>32000</v>
      </c>
      <c r="E69" s="24" t="n">
        <f aca="false">ROUND(D69*'⚙️ BEÁLLÍTÁSOK'!B39/100,0)*100</f>
        <v>32000</v>
      </c>
      <c r="F69" s="24" t="n">
        <f aca="false">ROUND(D69*'⚙️ BEÁLLÍTÁSOK'!B40/100,0)*100</f>
        <v>36800</v>
      </c>
      <c r="G69" s="24" t="n">
        <f aca="false">ROUND(D69*'⚙️ BEÁLLÍTÁSOK'!B41/100,0)*100</f>
        <v>34600</v>
      </c>
      <c r="H69" s="24" t="n">
        <f aca="false">ROUND(D69*'⚙️ BEÁLLÍTÁSOK'!B42/100,0)*100</f>
        <v>32000</v>
      </c>
      <c r="I69" s="24" t="n">
        <f aca="false">ROUND(D69*'⚙️ BEÁLLÍTÁSOK'!B43/100,0)*100</f>
        <v>29800</v>
      </c>
      <c r="J69" s="24" t="n">
        <f aca="false">ROUND(D69*'⚙️ BEÁLLÍTÁSOK'!B44/100,0)*100</f>
        <v>40000</v>
      </c>
      <c r="K69" s="25"/>
    </row>
    <row r="70" customFormat="false" ht="19.5" hidden="false" customHeight="true" outlineLevel="0" collapsed="false">
      <c r="A70" s="26"/>
      <c r="B70" s="27" t="s">
        <v>169</v>
      </c>
      <c r="C70" s="28" t="s">
        <v>106</v>
      </c>
      <c r="D70" s="34" t="s">
        <v>86</v>
      </c>
      <c r="E70" s="35" t="s">
        <v>87</v>
      </c>
      <c r="F70" s="35" t="s">
        <v>87</v>
      </c>
      <c r="G70" s="35" t="s">
        <v>87</v>
      </c>
      <c r="H70" s="35" t="s">
        <v>87</v>
      </c>
      <c r="I70" s="35" t="s">
        <v>87</v>
      </c>
      <c r="J70" s="35" t="s">
        <v>87</v>
      </c>
      <c r="K70" s="30" t="s">
        <v>170</v>
      </c>
    </row>
    <row r="71" customFormat="false" ht="19.5" hidden="false" customHeight="true" outlineLevel="0" collapsed="false">
      <c r="A71" s="20"/>
      <c r="B71" s="21" t="s">
        <v>171</v>
      </c>
      <c r="C71" s="22" t="s">
        <v>101</v>
      </c>
      <c r="D71" s="23" t="n">
        <v>6500</v>
      </c>
      <c r="E71" s="24" t="n">
        <f aca="false">ROUND(D71*'⚙️ BEÁLLÍTÁSOK'!B39/100,0)*100</f>
        <v>6500</v>
      </c>
      <c r="F71" s="24" t="n">
        <f aca="false">ROUND(D71*'⚙️ BEÁLLÍTÁSOK'!B40/100,0)*100</f>
        <v>7500</v>
      </c>
      <c r="G71" s="24" t="n">
        <f aca="false">ROUND(D71*'⚙️ BEÁLLÍTÁSOK'!B41/100,0)*100</f>
        <v>7000</v>
      </c>
      <c r="H71" s="24" t="n">
        <f aca="false">ROUND(D71*'⚙️ BEÁLLÍTÁSOK'!B42/100,0)*100</f>
        <v>6500</v>
      </c>
      <c r="I71" s="24" t="n">
        <f aca="false">ROUND(D71*'⚙️ BEÁLLÍTÁSOK'!B43/100,0)*100</f>
        <v>6000</v>
      </c>
      <c r="J71" s="24" t="n">
        <f aca="false">ROUND(D71*'⚙️ BEÁLLÍTÁSOK'!B44/100,0)*100</f>
        <v>8100</v>
      </c>
      <c r="K71" s="25"/>
    </row>
    <row r="72" customFormat="false" ht="18" hidden="false" customHeight="true" outlineLevel="0" collapsed="false">
      <c r="A72" s="33" t="s">
        <v>172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 customFormat="false" ht="19.5" hidden="false" customHeight="true" outlineLevel="0" collapsed="false">
      <c r="A73" s="20"/>
      <c r="B73" s="21" t="s">
        <v>173</v>
      </c>
      <c r="C73" s="22" t="s">
        <v>109</v>
      </c>
      <c r="D73" s="23" t="n">
        <v>78000</v>
      </c>
      <c r="E73" s="24" t="n">
        <f aca="false">ROUND(D73*'⚙️ BEÁLLÍTÁSOK'!B39/100,0)*100</f>
        <v>78000</v>
      </c>
      <c r="F73" s="24" t="n">
        <f aca="false">ROUND(D73*'⚙️ BEÁLLÍTÁSOK'!B40/100,0)*100</f>
        <v>89700</v>
      </c>
      <c r="G73" s="24" t="n">
        <f aca="false">ROUND(D73*'⚙️ BEÁLLÍTÁSOK'!B41/100,0)*100</f>
        <v>84200</v>
      </c>
      <c r="H73" s="24" t="n">
        <f aca="false">ROUND(D73*'⚙️ BEÁLLÍTÁSOK'!B42/100,0)*100</f>
        <v>78000</v>
      </c>
      <c r="I73" s="24" t="n">
        <f aca="false">ROUND(D73*'⚙️ BEÁLLÍTÁSOK'!B43/100,0)*100</f>
        <v>72500</v>
      </c>
      <c r="J73" s="24" t="n">
        <f aca="false">ROUND(D73*'⚙️ BEÁLLÍTÁSOK'!B44/100,0)*100</f>
        <v>97500</v>
      </c>
      <c r="K73" s="25"/>
    </row>
    <row r="74" customFormat="false" ht="19.5" hidden="false" customHeight="true" outlineLevel="0" collapsed="false">
      <c r="A74" s="26"/>
      <c r="B74" s="27" t="s">
        <v>174</v>
      </c>
      <c r="C74" s="28" t="s">
        <v>101</v>
      </c>
      <c r="D74" s="23" t="n">
        <v>10500</v>
      </c>
      <c r="E74" s="29" t="n">
        <f aca="false">ROUND(D74*'⚙️ BEÁLLÍTÁSOK'!B39/100,0)*100</f>
        <v>10500</v>
      </c>
      <c r="F74" s="29" t="n">
        <f aca="false">ROUND(D74*'⚙️ BEÁLLÍTÁSOK'!B40/100,0)*100</f>
        <v>12100</v>
      </c>
      <c r="G74" s="29" t="n">
        <f aca="false">ROUND(D74*'⚙️ BEÁLLÍTÁSOK'!B41/100,0)*100</f>
        <v>11300</v>
      </c>
      <c r="H74" s="29" t="n">
        <f aca="false">ROUND(D74*'⚙️ BEÁLLÍTÁSOK'!B42/100,0)*100</f>
        <v>10500</v>
      </c>
      <c r="I74" s="29" t="n">
        <f aca="false">ROUND(D74*'⚙️ BEÁLLÍTÁSOK'!B43/100,0)*100</f>
        <v>9800</v>
      </c>
      <c r="J74" s="29" t="n">
        <f aca="false">ROUND(D74*'⚙️ BEÁLLÍTÁSOK'!B44/100,0)*100</f>
        <v>13100</v>
      </c>
      <c r="K74" s="30"/>
    </row>
    <row r="75" customFormat="false" ht="19.5" hidden="false" customHeight="true" outlineLevel="0" collapsed="false">
      <c r="A75" s="20"/>
      <c r="B75" s="21" t="s">
        <v>175</v>
      </c>
      <c r="C75" s="22" t="s">
        <v>80</v>
      </c>
      <c r="D75" s="23" t="n">
        <v>26000</v>
      </c>
      <c r="E75" s="24" t="n">
        <f aca="false">ROUND(D75*'⚙️ BEÁLLÍTÁSOK'!B39/100,0)*100</f>
        <v>26000</v>
      </c>
      <c r="F75" s="24" t="n">
        <f aca="false">ROUND(D75*'⚙️ BEÁLLÍTÁSOK'!B40/100,0)*100</f>
        <v>29900</v>
      </c>
      <c r="G75" s="24" t="n">
        <f aca="false">ROUND(D75*'⚙️ BEÁLLÍTÁSOK'!B41/100,0)*100</f>
        <v>28100</v>
      </c>
      <c r="H75" s="24" t="n">
        <f aca="false">ROUND(D75*'⚙️ BEÁLLÍTÁSOK'!B42/100,0)*100</f>
        <v>26000</v>
      </c>
      <c r="I75" s="24" t="n">
        <f aca="false">ROUND(D75*'⚙️ BEÁLLÍTÁSOK'!B43/100,0)*100</f>
        <v>24200</v>
      </c>
      <c r="J75" s="24" t="n">
        <f aca="false">ROUND(D75*'⚙️ BEÁLLÍTÁSOK'!B44/100,0)*100</f>
        <v>32500</v>
      </c>
      <c r="K75" s="25"/>
    </row>
    <row r="76" customFormat="false" ht="21.75" hidden="false" customHeight="true" outlineLevel="0" collapsed="false">
      <c r="A76" s="19" t="s">
        <v>176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customFormat="false" ht="12.75" hidden="false" customHeight="true" outlineLevel="0" collapsed="false">
      <c r="A77" s="12" t="s">
        <v>177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customFormat="false" ht="18" hidden="false" customHeight="true" outlineLevel="0" collapsed="false">
      <c r="A78" s="33" t="s">
        <v>178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 customFormat="false" ht="19.5" hidden="false" customHeight="true" outlineLevel="0" collapsed="false">
      <c r="A79" s="20"/>
      <c r="B79" s="21" t="s">
        <v>179</v>
      </c>
      <c r="C79" s="22" t="s">
        <v>109</v>
      </c>
      <c r="D79" s="23" t="n">
        <v>260000</v>
      </c>
      <c r="E79" s="24" t="n">
        <f aca="false">ROUND(D79*'⚙️ BEÁLLÍTÁSOK'!B39/100,0)*100</f>
        <v>260000</v>
      </c>
      <c r="F79" s="24" t="n">
        <f aca="false">ROUND(D79*'⚙️ BEÁLLÍTÁSOK'!B40/100,0)*100</f>
        <v>299000</v>
      </c>
      <c r="G79" s="24" t="n">
        <f aca="false">ROUND(D79*'⚙️ BEÁLLÍTÁSOK'!B41/100,0)*100</f>
        <v>280800</v>
      </c>
      <c r="H79" s="24" t="n">
        <f aca="false">ROUND(D79*'⚙️ BEÁLLÍTÁSOK'!B42/100,0)*100</f>
        <v>260000</v>
      </c>
      <c r="I79" s="24" t="n">
        <f aca="false">ROUND(D79*'⚙️ BEÁLLÍTÁSOK'!B43/100,0)*100</f>
        <v>241800</v>
      </c>
      <c r="J79" s="24" t="n">
        <f aca="false">ROUND(D79*'⚙️ BEÁLLÍTÁSOK'!B44/100,0)*100</f>
        <v>325000</v>
      </c>
      <c r="K79" s="25" t="s">
        <v>180</v>
      </c>
    </row>
    <row r="80" customFormat="false" ht="19.5" hidden="false" customHeight="true" outlineLevel="0" collapsed="false">
      <c r="A80" s="26"/>
      <c r="B80" s="27" t="s">
        <v>181</v>
      </c>
      <c r="C80" s="28" t="s">
        <v>109</v>
      </c>
      <c r="D80" s="23" t="n">
        <v>520000</v>
      </c>
      <c r="E80" s="29" t="n">
        <f aca="false">ROUND(D80*'⚙️ BEÁLLÍTÁSOK'!B39/100,0)*100</f>
        <v>520000</v>
      </c>
      <c r="F80" s="29" t="n">
        <f aca="false">ROUND(D80*'⚙️ BEÁLLÍTÁSOK'!B40/100,0)*100</f>
        <v>598000</v>
      </c>
      <c r="G80" s="29" t="n">
        <f aca="false">ROUND(D80*'⚙️ BEÁLLÍTÁSOK'!B41/100,0)*100</f>
        <v>561600</v>
      </c>
      <c r="H80" s="29" t="n">
        <f aca="false">ROUND(D80*'⚙️ BEÁLLÍTÁSOK'!B42/100,0)*100</f>
        <v>520000</v>
      </c>
      <c r="I80" s="29" t="n">
        <f aca="false">ROUND(D80*'⚙️ BEÁLLÍTÁSOK'!B43/100,0)*100</f>
        <v>483600</v>
      </c>
      <c r="J80" s="29" t="n">
        <f aca="false">ROUND(D80*'⚙️ BEÁLLÍTÁSOK'!B44/100,0)*100</f>
        <v>650000</v>
      </c>
      <c r="K80" s="30"/>
    </row>
    <row r="81" customFormat="false" ht="19.5" hidden="false" customHeight="true" outlineLevel="0" collapsed="false">
      <c r="A81" s="20"/>
      <c r="B81" s="21" t="s">
        <v>182</v>
      </c>
      <c r="C81" s="22" t="s">
        <v>109</v>
      </c>
      <c r="D81" s="23" t="n">
        <v>120000</v>
      </c>
      <c r="E81" s="24" t="n">
        <f aca="false">ROUND(D81*'⚙️ BEÁLLÍTÁSOK'!B39/100,0)*100</f>
        <v>120000</v>
      </c>
      <c r="F81" s="24" t="n">
        <f aca="false">ROUND(D81*'⚙️ BEÁLLÍTÁSOK'!B40/100,0)*100</f>
        <v>138000</v>
      </c>
      <c r="G81" s="24" t="n">
        <f aca="false">ROUND(D81*'⚙️ BEÁLLÍTÁSOK'!B41/100,0)*100</f>
        <v>129600</v>
      </c>
      <c r="H81" s="24" t="n">
        <f aca="false">ROUND(D81*'⚙️ BEÁLLÍTÁSOK'!B42/100,0)*100</f>
        <v>120000</v>
      </c>
      <c r="I81" s="24" t="n">
        <f aca="false">ROUND(D81*'⚙️ BEÁLLÍTÁSOK'!B43/100,0)*100</f>
        <v>111600</v>
      </c>
      <c r="J81" s="24" t="n">
        <f aca="false">ROUND(D81*'⚙️ BEÁLLÍTÁSOK'!B44/100,0)*100</f>
        <v>150000</v>
      </c>
      <c r="K81" s="25"/>
    </row>
    <row r="82" customFormat="false" ht="19.5" hidden="false" customHeight="true" outlineLevel="0" collapsed="false">
      <c r="A82" s="26"/>
      <c r="B82" s="27" t="s">
        <v>183</v>
      </c>
      <c r="C82" s="28" t="s">
        <v>109</v>
      </c>
      <c r="D82" s="23" t="n">
        <v>1450000</v>
      </c>
      <c r="E82" s="29" t="n">
        <f aca="false">ROUND(D82*'⚙️ BEÁLLÍTÁSOK'!B39/100,0)*100</f>
        <v>1450000</v>
      </c>
      <c r="F82" s="29" t="n">
        <f aca="false">ROUND(D82*'⚙️ BEÁLLÍTÁSOK'!B40/100,0)*100</f>
        <v>1667500</v>
      </c>
      <c r="G82" s="29" t="n">
        <f aca="false">ROUND(D82*'⚙️ BEÁLLÍTÁSOK'!B41/100,0)*100</f>
        <v>1566000</v>
      </c>
      <c r="H82" s="29" t="n">
        <f aca="false">ROUND(D82*'⚙️ BEÁLLÍTÁSOK'!B42/100,0)*100</f>
        <v>1450000</v>
      </c>
      <c r="I82" s="29" t="n">
        <f aca="false">ROUND(D82*'⚙️ BEÁLLÍTÁSOK'!B43/100,0)*100</f>
        <v>1348500</v>
      </c>
      <c r="J82" s="29" t="n">
        <f aca="false">ROUND(D82*'⚙️ BEÁLLÍTÁSOK'!B44/100,0)*100</f>
        <v>1812500</v>
      </c>
      <c r="K82" s="30" t="s">
        <v>184</v>
      </c>
    </row>
    <row r="83" customFormat="false" ht="19.5" hidden="false" customHeight="true" outlineLevel="0" collapsed="false">
      <c r="A83" s="20"/>
      <c r="B83" s="21" t="s">
        <v>185</v>
      </c>
      <c r="C83" s="22" t="s">
        <v>109</v>
      </c>
      <c r="D83" s="31" t="s">
        <v>86</v>
      </c>
      <c r="E83" s="32" t="s">
        <v>87</v>
      </c>
      <c r="F83" s="32" t="s">
        <v>87</v>
      </c>
      <c r="G83" s="32" t="s">
        <v>87</v>
      </c>
      <c r="H83" s="32" t="s">
        <v>87</v>
      </c>
      <c r="I83" s="32" t="s">
        <v>87</v>
      </c>
      <c r="J83" s="32" t="s">
        <v>87</v>
      </c>
      <c r="K83" s="25" t="s">
        <v>186</v>
      </c>
    </row>
    <row r="84" customFormat="false" ht="19.5" hidden="false" customHeight="true" outlineLevel="0" collapsed="false">
      <c r="A84" s="26"/>
      <c r="B84" s="27" t="s">
        <v>187</v>
      </c>
      <c r="C84" s="28" t="s">
        <v>109</v>
      </c>
      <c r="D84" s="23" t="n">
        <v>140000</v>
      </c>
      <c r="E84" s="29" t="n">
        <f aca="false">ROUND(D84*'⚙️ BEÁLLÍTÁSOK'!B39/100,0)*100</f>
        <v>140000</v>
      </c>
      <c r="F84" s="29" t="n">
        <f aca="false">ROUND(D84*'⚙️ BEÁLLÍTÁSOK'!B40/100,0)*100</f>
        <v>161000</v>
      </c>
      <c r="G84" s="29" t="n">
        <f aca="false">ROUND(D84*'⚙️ BEÁLLÍTÁSOK'!B41/100,0)*100</f>
        <v>151200</v>
      </c>
      <c r="H84" s="29" t="n">
        <f aca="false">ROUND(D84*'⚙️ BEÁLLÍTÁSOK'!B42/100,0)*100</f>
        <v>140000</v>
      </c>
      <c r="I84" s="29" t="n">
        <f aca="false">ROUND(D84*'⚙️ BEÁLLÍTÁSOK'!B43/100,0)*100</f>
        <v>130200</v>
      </c>
      <c r="J84" s="29" t="n">
        <f aca="false">ROUND(D84*'⚙️ BEÁLLÍTÁSOK'!B44/100,0)*100</f>
        <v>175000</v>
      </c>
      <c r="K84" s="30"/>
    </row>
    <row r="85" customFormat="false" ht="18" hidden="false" customHeight="true" outlineLevel="0" collapsed="false">
      <c r="A85" s="33" t="s">
        <v>188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 customFormat="false" ht="19.5" hidden="false" customHeight="true" outlineLevel="0" collapsed="false">
      <c r="A86" s="20"/>
      <c r="B86" s="21" t="s">
        <v>189</v>
      </c>
      <c r="C86" s="22" t="s">
        <v>109</v>
      </c>
      <c r="D86" s="23" t="n">
        <v>60000</v>
      </c>
      <c r="E86" s="24" t="n">
        <f aca="false">ROUND(D86*'⚙️ BEÁLLÍTÁSOK'!B39/100,0)*100</f>
        <v>60000</v>
      </c>
      <c r="F86" s="24" t="n">
        <f aca="false">ROUND(D86*'⚙️ BEÁLLÍTÁSOK'!B40/100,0)*100</f>
        <v>69000</v>
      </c>
      <c r="G86" s="24" t="n">
        <f aca="false">ROUND(D86*'⚙️ BEÁLLÍTÁSOK'!B41/100,0)*100</f>
        <v>64800</v>
      </c>
      <c r="H86" s="24" t="n">
        <f aca="false">ROUND(D86*'⚙️ BEÁLLÍTÁSOK'!B42/100,0)*100</f>
        <v>60000</v>
      </c>
      <c r="I86" s="24" t="n">
        <f aca="false">ROUND(D86*'⚙️ BEÁLLÍTÁSOK'!B43/100,0)*100</f>
        <v>55800</v>
      </c>
      <c r="J86" s="24" t="n">
        <f aca="false">ROUND(D86*'⚙️ BEÁLLÍTÁSOK'!B44/100,0)*100</f>
        <v>75000</v>
      </c>
      <c r="K86" s="25"/>
    </row>
    <row r="87" customFormat="false" ht="19.5" hidden="false" customHeight="true" outlineLevel="0" collapsed="false">
      <c r="A87" s="26"/>
      <c r="B87" s="27" t="s">
        <v>190</v>
      </c>
      <c r="C87" s="28" t="s">
        <v>106</v>
      </c>
      <c r="D87" s="34" t="s">
        <v>86</v>
      </c>
      <c r="E87" s="35" t="s">
        <v>87</v>
      </c>
      <c r="F87" s="35" t="s">
        <v>87</v>
      </c>
      <c r="G87" s="35" t="s">
        <v>87</v>
      </c>
      <c r="H87" s="35" t="s">
        <v>87</v>
      </c>
      <c r="I87" s="35" t="s">
        <v>87</v>
      </c>
      <c r="J87" s="35" t="s">
        <v>87</v>
      </c>
      <c r="K87" s="30" t="s">
        <v>191</v>
      </c>
    </row>
    <row r="88" customFormat="false" ht="19.5" hidden="false" customHeight="true" outlineLevel="0" collapsed="false">
      <c r="A88" s="20"/>
      <c r="B88" s="21" t="s">
        <v>192</v>
      </c>
      <c r="C88" s="22" t="s">
        <v>109</v>
      </c>
      <c r="D88" s="23" t="n">
        <v>130000</v>
      </c>
      <c r="E88" s="24" t="n">
        <f aca="false">ROUND(D88*'⚙️ BEÁLLÍTÁSOK'!B39/100,0)*100</f>
        <v>130000</v>
      </c>
      <c r="F88" s="24" t="n">
        <f aca="false">ROUND(D88*'⚙️ BEÁLLÍTÁSOK'!B40/100,0)*100</f>
        <v>149500</v>
      </c>
      <c r="G88" s="24" t="n">
        <f aca="false">ROUND(D88*'⚙️ BEÁLLÍTÁSOK'!B41/100,0)*100</f>
        <v>140400</v>
      </c>
      <c r="H88" s="24" t="n">
        <f aca="false">ROUND(D88*'⚙️ BEÁLLÍTÁSOK'!B42/100,0)*100</f>
        <v>130000</v>
      </c>
      <c r="I88" s="24" t="n">
        <f aca="false">ROUND(D88*'⚙️ BEÁLLÍTÁSOK'!B43/100,0)*100</f>
        <v>120900</v>
      </c>
      <c r="J88" s="24" t="n">
        <f aca="false">ROUND(D88*'⚙️ BEÁLLÍTÁSOK'!B44/100,0)*100</f>
        <v>162500</v>
      </c>
      <c r="K88" s="25"/>
    </row>
    <row r="89" customFormat="false" ht="19.5" hidden="false" customHeight="true" outlineLevel="0" collapsed="false">
      <c r="A89" s="26"/>
      <c r="B89" s="27" t="s">
        <v>193</v>
      </c>
      <c r="C89" s="28" t="s">
        <v>109</v>
      </c>
      <c r="D89" s="23" t="n">
        <v>48000</v>
      </c>
      <c r="E89" s="29" t="n">
        <f aca="false">ROUND(D89*'⚙️ BEÁLLÍTÁSOK'!B39/100,0)*100</f>
        <v>48000</v>
      </c>
      <c r="F89" s="29" t="n">
        <f aca="false">ROUND(D89*'⚙️ BEÁLLÍTÁSOK'!B40/100,0)*100</f>
        <v>55200</v>
      </c>
      <c r="G89" s="29" t="n">
        <f aca="false">ROUND(D89*'⚙️ BEÁLLÍTÁSOK'!B41/100,0)*100</f>
        <v>51800</v>
      </c>
      <c r="H89" s="29" t="n">
        <f aca="false">ROUND(D89*'⚙️ BEÁLLÍTÁSOK'!B42/100,0)*100</f>
        <v>48000</v>
      </c>
      <c r="I89" s="29" t="n">
        <f aca="false">ROUND(D89*'⚙️ BEÁLLÍTÁSOK'!B43/100,0)*100</f>
        <v>44600</v>
      </c>
      <c r="J89" s="29" t="n">
        <f aca="false">ROUND(D89*'⚙️ BEÁLLÍTÁSOK'!B44/100,0)*100</f>
        <v>60000</v>
      </c>
      <c r="K89" s="30"/>
    </row>
    <row r="90" customFormat="false" ht="19.5" hidden="false" customHeight="true" outlineLevel="0" collapsed="false">
      <c r="A90" s="20"/>
      <c r="B90" s="21" t="s">
        <v>194</v>
      </c>
      <c r="C90" s="22" t="s">
        <v>109</v>
      </c>
      <c r="D90" s="23" t="n">
        <v>40000</v>
      </c>
      <c r="E90" s="24" t="n">
        <f aca="false">ROUND(D90*'⚙️ BEÁLLÍTÁSOK'!B39/100,0)*100</f>
        <v>40000</v>
      </c>
      <c r="F90" s="24" t="n">
        <f aca="false">ROUND(D90*'⚙️ BEÁLLÍTÁSOK'!B40/100,0)*100</f>
        <v>46000</v>
      </c>
      <c r="G90" s="24" t="n">
        <f aca="false">ROUND(D90*'⚙️ BEÁLLÍTÁSOK'!B41/100,0)*100</f>
        <v>43200</v>
      </c>
      <c r="H90" s="24" t="n">
        <f aca="false">ROUND(D90*'⚙️ BEÁLLÍTÁSOK'!B42/100,0)*100</f>
        <v>40000</v>
      </c>
      <c r="I90" s="24" t="n">
        <f aca="false">ROUND(D90*'⚙️ BEÁLLÍTÁSOK'!B43/100,0)*100</f>
        <v>37200</v>
      </c>
      <c r="J90" s="24" t="n">
        <f aca="false">ROUND(D90*'⚙️ BEÁLLÍTÁSOK'!B44/100,0)*100</f>
        <v>50000</v>
      </c>
      <c r="K90" s="25"/>
    </row>
    <row r="91" customFormat="false" ht="19.5" hidden="false" customHeight="true" outlineLevel="0" collapsed="false">
      <c r="A91" s="26"/>
      <c r="B91" s="27" t="s">
        <v>195</v>
      </c>
      <c r="C91" s="28" t="s">
        <v>92</v>
      </c>
      <c r="D91" s="23" t="n">
        <v>12000</v>
      </c>
      <c r="E91" s="29" t="n">
        <f aca="false">ROUND(D91*'⚙️ BEÁLLÍTÁSOK'!B39/100,0)*100</f>
        <v>12000</v>
      </c>
      <c r="F91" s="29" t="n">
        <f aca="false">ROUND(D91*'⚙️ BEÁLLÍTÁSOK'!B40/100,0)*100</f>
        <v>13800</v>
      </c>
      <c r="G91" s="29" t="n">
        <f aca="false">ROUND(D91*'⚙️ BEÁLLÍTÁSOK'!B41/100,0)*100</f>
        <v>13000</v>
      </c>
      <c r="H91" s="29" t="n">
        <f aca="false">ROUND(D91*'⚙️ BEÁLLÍTÁSOK'!B42/100,0)*100</f>
        <v>12000</v>
      </c>
      <c r="I91" s="29" t="n">
        <f aca="false">ROUND(D91*'⚙️ BEÁLLÍTÁSOK'!B43/100,0)*100</f>
        <v>11200</v>
      </c>
      <c r="J91" s="29" t="n">
        <f aca="false">ROUND(D91*'⚙️ BEÁLLÍTÁSOK'!B44/100,0)*100</f>
        <v>15000</v>
      </c>
      <c r="K91" s="30"/>
    </row>
    <row r="92" customFormat="false" ht="19.5" hidden="false" customHeight="true" outlineLevel="0" collapsed="false">
      <c r="A92" s="20"/>
      <c r="B92" s="21" t="s">
        <v>196</v>
      </c>
      <c r="C92" s="22" t="s">
        <v>109</v>
      </c>
      <c r="D92" s="23" t="n">
        <v>65000</v>
      </c>
      <c r="E92" s="24" t="n">
        <f aca="false">ROUND(D92*'⚙️ BEÁLLÍTÁSOK'!B39/100,0)*100</f>
        <v>65000</v>
      </c>
      <c r="F92" s="24" t="n">
        <f aca="false">ROUND(D92*'⚙️ BEÁLLÍTÁSOK'!B40/100,0)*100</f>
        <v>74800</v>
      </c>
      <c r="G92" s="24" t="n">
        <f aca="false">ROUND(D92*'⚙️ BEÁLLÍTÁSOK'!B41/100,0)*100</f>
        <v>70200</v>
      </c>
      <c r="H92" s="24" t="n">
        <f aca="false">ROUND(D92*'⚙️ BEÁLLÍTÁSOK'!B42/100,0)*100</f>
        <v>65000</v>
      </c>
      <c r="I92" s="24" t="n">
        <f aca="false">ROUND(D92*'⚙️ BEÁLLÍTÁSOK'!B43/100,0)*100</f>
        <v>60500</v>
      </c>
      <c r="J92" s="24" t="n">
        <f aca="false">ROUND(D92*'⚙️ BEÁLLÍTÁSOK'!B44/100,0)*100</f>
        <v>81300</v>
      </c>
      <c r="K92" s="25"/>
    </row>
    <row r="93" customFormat="false" ht="19.5" hidden="false" customHeight="true" outlineLevel="0" collapsed="false">
      <c r="A93" s="26"/>
      <c r="B93" s="27" t="s">
        <v>197</v>
      </c>
      <c r="C93" s="28" t="s">
        <v>109</v>
      </c>
      <c r="D93" s="23" t="n">
        <v>45000</v>
      </c>
      <c r="E93" s="29" t="n">
        <f aca="false">ROUND(D93*'⚙️ BEÁLLÍTÁSOK'!B39/100,0)*100</f>
        <v>45000</v>
      </c>
      <c r="F93" s="29" t="n">
        <f aca="false">ROUND(D93*'⚙️ BEÁLLÍTÁSOK'!B40/100,0)*100</f>
        <v>51700</v>
      </c>
      <c r="G93" s="29" t="n">
        <f aca="false">ROUND(D93*'⚙️ BEÁLLÍTÁSOK'!B41/100,0)*100</f>
        <v>48600</v>
      </c>
      <c r="H93" s="29" t="n">
        <f aca="false">ROUND(D93*'⚙️ BEÁLLÍTÁSOK'!B42/100,0)*100</f>
        <v>45000</v>
      </c>
      <c r="I93" s="29" t="n">
        <f aca="false">ROUND(D93*'⚙️ BEÁLLÍTÁSOK'!B43/100,0)*100</f>
        <v>41900</v>
      </c>
      <c r="J93" s="29" t="n">
        <f aca="false">ROUND(D93*'⚙️ BEÁLLÍTÁSOK'!B44/100,0)*100</f>
        <v>56300</v>
      </c>
      <c r="K93" s="30"/>
    </row>
    <row r="94" customFormat="false" ht="19.5" hidden="false" customHeight="true" outlineLevel="0" collapsed="false">
      <c r="A94" s="20"/>
      <c r="B94" s="21" t="s">
        <v>198</v>
      </c>
      <c r="C94" s="22" t="s">
        <v>80</v>
      </c>
      <c r="D94" s="23" t="n">
        <v>18000</v>
      </c>
      <c r="E94" s="24" t="n">
        <f aca="false">ROUND(D94*'⚙️ BEÁLLÍTÁSOK'!B39/100,0)*100</f>
        <v>18000</v>
      </c>
      <c r="F94" s="24" t="n">
        <f aca="false">ROUND(D94*'⚙️ BEÁLLÍTÁSOK'!B40/100,0)*100</f>
        <v>20700</v>
      </c>
      <c r="G94" s="24" t="n">
        <f aca="false">ROUND(D94*'⚙️ BEÁLLÍTÁSOK'!B41/100,0)*100</f>
        <v>19400</v>
      </c>
      <c r="H94" s="24" t="n">
        <f aca="false">ROUND(D94*'⚙️ BEÁLLÍTÁSOK'!B42/100,0)*100</f>
        <v>18000</v>
      </c>
      <c r="I94" s="24" t="n">
        <f aca="false">ROUND(D94*'⚙️ BEÁLLÍTÁSOK'!B43/100,0)*100</f>
        <v>16700</v>
      </c>
      <c r="J94" s="24" t="n">
        <f aca="false">ROUND(D94*'⚙️ BEÁLLÍTÁSOK'!B44/100,0)*100</f>
        <v>22500</v>
      </c>
      <c r="K94" s="25" t="s">
        <v>199</v>
      </c>
    </row>
    <row r="95" customFormat="false" ht="18" hidden="false" customHeight="true" outlineLevel="0" collapsed="false">
      <c r="A95" s="33" t="s">
        <v>200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 customFormat="false" ht="19.5" hidden="false" customHeight="true" outlineLevel="0" collapsed="false">
      <c r="A96" s="20"/>
      <c r="B96" s="21" t="s">
        <v>201</v>
      </c>
      <c r="C96" s="22" t="s">
        <v>202</v>
      </c>
      <c r="D96" s="23" t="n">
        <v>9000</v>
      </c>
      <c r="E96" s="24" t="n">
        <f aca="false">ROUND(D96*'⚙️ BEÁLLÍTÁSOK'!B39/100,0)*100</f>
        <v>9000</v>
      </c>
      <c r="F96" s="24" t="n">
        <f aca="false">ROUND(D96*'⚙️ BEÁLLÍTÁSOK'!B40/100,0)*100</f>
        <v>10400</v>
      </c>
      <c r="G96" s="24" t="n">
        <f aca="false">ROUND(D96*'⚙️ BEÁLLÍTÁSOK'!B41/100,0)*100</f>
        <v>9700</v>
      </c>
      <c r="H96" s="24" t="n">
        <f aca="false">ROUND(D96*'⚙️ BEÁLLÍTÁSOK'!B42/100,0)*100</f>
        <v>9000</v>
      </c>
      <c r="I96" s="24" t="n">
        <f aca="false">ROUND(D96*'⚙️ BEÁLLÍTÁSOK'!B43/100,0)*100</f>
        <v>8400</v>
      </c>
      <c r="J96" s="24" t="n">
        <f aca="false">ROUND(D96*'⚙️ BEÁLLÍTÁSOK'!B44/100,0)*100</f>
        <v>11300</v>
      </c>
      <c r="K96" s="25" t="s">
        <v>203</v>
      </c>
    </row>
    <row r="97" customFormat="false" ht="19.5" hidden="false" customHeight="true" outlineLevel="0" collapsed="false">
      <c r="A97" s="26"/>
      <c r="B97" s="27" t="s">
        <v>204</v>
      </c>
      <c r="C97" s="28" t="s">
        <v>101</v>
      </c>
      <c r="D97" s="23" t="n">
        <v>7500</v>
      </c>
      <c r="E97" s="29" t="n">
        <f aca="false">ROUND(D97*'⚙️ BEÁLLÍTÁSOK'!B39/100,0)*100</f>
        <v>7500</v>
      </c>
      <c r="F97" s="29" t="n">
        <f aca="false">ROUND(D97*'⚙️ BEÁLLÍTÁSOK'!B40/100,0)*100</f>
        <v>8600</v>
      </c>
      <c r="G97" s="29" t="n">
        <f aca="false">ROUND(D97*'⚙️ BEÁLLÍTÁSOK'!B41/100,0)*100</f>
        <v>8100</v>
      </c>
      <c r="H97" s="29" t="n">
        <f aca="false">ROUND(D97*'⚙️ BEÁLLÍTÁSOK'!B42/100,0)*100</f>
        <v>7500</v>
      </c>
      <c r="I97" s="29" t="n">
        <f aca="false">ROUND(D97*'⚙️ BEÁLLÍTÁSOK'!B43/100,0)*100</f>
        <v>7000</v>
      </c>
      <c r="J97" s="29" t="n">
        <f aca="false">ROUND(D97*'⚙️ BEÁLLÍTÁSOK'!B44/100,0)*100</f>
        <v>9400</v>
      </c>
      <c r="K97" s="30" t="s">
        <v>205</v>
      </c>
    </row>
    <row r="98" customFormat="false" ht="19.5" hidden="false" customHeight="true" outlineLevel="0" collapsed="false">
      <c r="A98" s="20"/>
      <c r="B98" s="21" t="s">
        <v>206</v>
      </c>
      <c r="C98" s="22" t="s">
        <v>114</v>
      </c>
      <c r="D98" s="23" t="n">
        <v>6500</v>
      </c>
      <c r="E98" s="24" t="n">
        <f aca="false">ROUND(D98*'⚙️ BEÁLLÍTÁSOK'!B39/100,0)*100</f>
        <v>6500</v>
      </c>
      <c r="F98" s="24" t="n">
        <f aca="false">ROUND(D98*'⚙️ BEÁLLÍTÁSOK'!B40/100,0)*100</f>
        <v>7500</v>
      </c>
      <c r="G98" s="24" t="n">
        <f aca="false">ROUND(D98*'⚙️ BEÁLLÍTÁSOK'!B41/100,0)*100</f>
        <v>7000</v>
      </c>
      <c r="H98" s="24" t="n">
        <f aca="false">ROUND(D98*'⚙️ BEÁLLÍTÁSOK'!B42/100,0)*100</f>
        <v>6500</v>
      </c>
      <c r="I98" s="24" t="n">
        <f aca="false">ROUND(D98*'⚙️ BEÁLLÍTÁSOK'!B43/100,0)*100</f>
        <v>6000</v>
      </c>
      <c r="J98" s="24" t="n">
        <f aca="false">ROUND(D98*'⚙️ BEÁLLÍTÁSOK'!B44/100,0)*100</f>
        <v>8100</v>
      </c>
      <c r="K98" s="25"/>
    </row>
    <row r="99" customFormat="false" ht="19.5" hidden="false" customHeight="true" outlineLevel="0" collapsed="false">
      <c r="A99" s="26"/>
      <c r="B99" s="27" t="s">
        <v>207</v>
      </c>
      <c r="C99" s="28" t="s">
        <v>109</v>
      </c>
      <c r="D99" s="23" t="n">
        <v>20000</v>
      </c>
      <c r="E99" s="29" t="n">
        <f aca="false">ROUND(D99*'⚙️ BEÁLLÍTÁSOK'!B39/100,0)*100</f>
        <v>20000</v>
      </c>
      <c r="F99" s="29" t="n">
        <f aca="false">ROUND(D99*'⚙️ BEÁLLÍTÁSOK'!B40/100,0)*100</f>
        <v>23000</v>
      </c>
      <c r="G99" s="29" t="n">
        <f aca="false">ROUND(D99*'⚙️ BEÁLLÍTÁSOK'!B41/100,0)*100</f>
        <v>21600</v>
      </c>
      <c r="H99" s="29" t="n">
        <f aca="false">ROUND(D99*'⚙️ BEÁLLÍTÁSOK'!B42/100,0)*100</f>
        <v>20000</v>
      </c>
      <c r="I99" s="29" t="n">
        <f aca="false">ROUND(D99*'⚙️ BEÁLLÍTÁSOK'!B43/100,0)*100</f>
        <v>18600</v>
      </c>
      <c r="J99" s="29" t="n">
        <f aca="false">ROUND(D99*'⚙️ BEÁLLÍTÁSOK'!B44/100,0)*100</f>
        <v>25000</v>
      </c>
      <c r="K99" s="30"/>
    </row>
    <row r="100" customFormat="false" ht="21.75" hidden="false" customHeight="true" outlineLevel="0" collapsed="false">
      <c r="A100" s="19" t="s">
        <v>208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customFormat="false" ht="12.75" hidden="false" customHeight="true" outlineLevel="0" collapsed="false">
      <c r="A101" s="12" t="s">
        <v>209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customFormat="false" ht="18" hidden="false" customHeight="true" outlineLevel="0" collapsed="false">
      <c r="A102" s="33" t="s">
        <v>210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 customFormat="false" ht="19.5" hidden="false" customHeight="true" outlineLevel="0" collapsed="false">
      <c r="A103" s="20"/>
      <c r="B103" s="21" t="s">
        <v>211</v>
      </c>
      <c r="C103" s="22" t="s">
        <v>101</v>
      </c>
      <c r="D103" s="23" t="n">
        <v>16000</v>
      </c>
      <c r="E103" s="24" t="n">
        <f aca="false">ROUND(D103*'⚙️ BEÁLLÍTÁSOK'!B39/100,0)*100</f>
        <v>16000</v>
      </c>
      <c r="F103" s="24" t="n">
        <f aca="false">ROUND(D103*'⚙️ BEÁLLÍTÁSOK'!B40/100,0)*100</f>
        <v>18400</v>
      </c>
      <c r="G103" s="24" t="n">
        <f aca="false">ROUND(D103*'⚙️ BEÁLLÍTÁSOK'!B41/100,0)*100</f>
        <v>17300</v>
      </c>
      <c r="H103" s="24" t="n">
        <f aca="false">ROUND(D103*'⚙️ BEÁLLÍTÁSOK'!B42/100,0)*100</f>
        <v>16000</v>
      </c>
      <c r="I103" s="24" t="n">
        <f aca="false">ROUND(D103*'⚙️ BEÁLLÍTÁSOK'!B43/100,0)*100</f>
        <v>14900</v>
      </c>
      <c r="J103" s="24" t="n">
        <f aca="false">ROUND(D103*'⚙️ BEÁLLÍTÁSOK'!B44/100,0)*100</f>
        <v>20000</v>
      </c>
      <c r="K103" s="25"/>
    </row>
    <row r="104" customFormat="false" ht="19.5" hidden="false" customHeight="true" outlineLevel="0" collapsed="false">
      <c r="A104" s="26"/>
      <c r="B104" s="27" t="s">
        <v>212</v>
      </c>
      <c r="C104" s="28" t="s">
        <v>101</v>
      </c>
      <c r="D104" s="23" t="n">
        <v>13000</v>
      </c>
      <c r="E104" s="29" t="n">
        <f aca="false">ROUND(D104*'⚙️ BEÁLLÍTÁSOK'!B39/100,0)*100</f>
        <v>13000</v>
      </c>
      <c r="F104" s="29" t="n">
        <f aca="false">ROUND(D104*'⚙️ BEÁLLÍTÁSOK'!B40/100,0)*100</f>
        <v>14900</v>
      </c>
      <c r="G104" s="29" t="n">
        <f aca="false">ROUND(D104*'⚙️ BEÁLLÍTÁSOK'!B41/100,0)*100</f>
        <v>14000</v>
      </c>
      <c r="H104" s="29" t="n">
        <f aca="false">ROUND(D104*'⚙️ BEÁLLÍTÁSOK'!B42/100,0)*100</f>
        <v>13000</v>
      </c>
      <c r="I104" s="29" t="n">
        <f aca="false">ROUND(D104*'⚙️ BEÁLLÍTÁSOK'!B43/100,0)*100</f>
        <v>12100</v>
      </c>
      <c r="J104" s="29" t="n">
        <f aca="false">ROUND(D104*'⚙️ BEÁLLÍTÁSOK'!B44/100,0)*100</f>
        <v>16300</v>
      </c>
      <c r="K104" s="30"/>
    </row>
    <row r="105" customFormat="false" ht="19.5" hidden="false" customHeight="true" outlineLevel="0" collapsed="false">
      <c r="A105" s="20"/>
      <c r="B105" s="21" t="s">
        <v>213</v>
      </c>
      <c r="C105" s="22" t="s">
        <v>101</v>
      </c>
      <c r="D105" s="23" t="n">
        <v>55000</v>
      </c>
      <c r="E105" s="24" t="n">
        <f aca="false">ROUND(D105*'⚙️ BEÁLLÍTÁSOK'!B39/100,0)*100</f>
        <v>55000</v>
      </c>
      <c r="F105" s="24" t="n">
        <f aca="false">ROUND(D105*'⚙️ BEÁLLÍTÁSOK'!B40/100,0)*100</f>
        <v>63200</v>
      </c>
      <c r="G105" s="24" t="n">
        <f aca="false">ROUND(D105*'⚙️ BEÁLLÍTÁSOK'!B41/100,0)*100</f>
        <v>59400</v>
      </c>
      <c r="H105" s="24" t="n">
        <f aca="false">ROUND(D105*'⚙️ BEÁLLÍTÁSOK'!B42/100,0)*100</f>
        <v>55000</v>
      </c>
      <c r="I105" s="24" t="n">
        <f aca="false">ROUND(D105*'⚙️ BEÁLLÍTÁSOK'!B43/100,0)*100</f>
        <v>51200</v>
      </c>
      <c r="J105" s="24" t="n">
        <f aca="false">ROUND(D105*'⚙️ BEÁLLÍTÁSOK'!B44/100,0)*100</f>
        <v>68800</v>
      </c>
      <c r="K105" s="25" t="s">
        <v>214</v>
      </c>
    </row>
    <row r="106" customFormat="false" ht="19.5" hidden="false" customHeight="true" outlineLevel="0" collapsed="false">
      <c r="A106" s="26"/>
      <c r="B106" s="27" t="s">
        <v>215</v>
      </c>
      <c r="C106" s="28" t="s">
        <v>101</v>
      </c>
      <c r="D106" s="23" t="n">
        <v>14000</v>
      </c>
      <c r="E106" s="29" t="n">
        <f aca="false">ROUND(D106*'⚙️ BEÁLLÍTÁSOK'!B39/100,0)*100</f>
        <v>14000</v>
      </c>
      <c r="F106" s="29" t="n">
        <f aca="false">ROUND(D106*'⚙️ BEÁLLÍTÁSOK'!B40/100,0)*100</f>
        <v>16100</v>
      </c>
      <c r="G106" s="29" t="n">
        <f aca="false">ROUND(D106*'⚙️ BEÁLLÍTÁSOK'!B41/100,0)*100</f>
        <v>15100</v>
      </c>
      <c r="H106" s="29" t="n">
        <f aca="false">ROUND(D106*'⚙️ BEÁLLÍTÁSOK'!B42/100,0)*100</f>
        <v>14000</v>
      </c>
      <c r="I106" s="29" t="n">
        <f aca="false">ROUND(D106*'⚙️ BEÁLLÍTÁSOK'!B43/100,0)*100</f>
        <v>13000</v>
      </c>
      <c r="J106" s="29" t="n">
        <f aca="false">ROUND(D106*'⚙️ BEÁLLÍTÁSOK'!B44/100,0)*100</f>
        <v>17500</v>
      </c>
      <c r="K106" s="30"/>
    </row>
    <row r="107" customFormat="false" ht="19.5" hidden="false" customHeight="true" outlineLevel="0" collapsed="false">
      <c r="A107" s="20"/>
      <c r="B107" s="21" t="s">
        <v>216</v>
      </c>
      <c r="C107" s="22" t="s">
        <v>101</v>
      </c>
      <c r="D107" s="23" t="n">
        <v>11000</v>
      </c>
      <c r="E107" s="24" t="n">
        <f aca="false">ROUND(D107*'⚙️ BEÁLLÍTÁSOK'!B39/100,0)*100</f>
        <v>11000</v>
      </c>
      <c r="F107" s="24" t="n">
        <f aca="false">ROUND(D107*'⚙️ BEÁLLÍTÁSOK'!B40/100,0)*100</f>
        <v>12600</v>
      </c>
      <c r="G107" s="24" t="n">
        <f aca="false">ROUND(D107*'⚙️ BEÁLLÍTÁSOK'!B41/100,0)*100</f>
        <v>11900</v>
      </c>
      <c r="H107" s="24" t="n">
        <f aca="false">ROUND(D107*'⚙️ BEÁLLÍTÁSOK'!B42/100,0)*100</f>
        <v>11000</v>
      </c>
      <c r="I107" s="24" t="n">
        <f aca="false">ROUND(D107*'⚙️ BEÁLLÍTÁSOK'!B43/100,0)*100</f>
        <v>10200</v>
      </c>
      <c r="J107" s="24" t="n">
        <f aca="false">ROUND(D107*'⚙️ BEÁLLÍTÁSOK'!B44/100,0)*100</f>
        <v>13800</v>
      </c>
      <c r="K107" s="25"/>
    </row>
    <row r="108" customFormat="false" ht="18" hidden="false" customHeight="true" outlineLevel="0" collapsed="false">
      <c r="A108" s="33" t="s">
        <v>217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 customFormat="false" ht="19.5" hidden="false" customHeight="true" outlineLevel="0" collapsed="false">
      <c r="A109" s="20"/>
      <c r="B109" s="21" t="s">
        <v>218</v>
      </c>
      <c r="C109" s="22" t="s">
        <v>101</v>
      </c>
      <c r="D109" s="23" t="n">
        <v>11000</v>
      </c>
      <c r="E109" s="24" t="n">
        <f aca="false">ROUND(D109*'⚙️ BEÁLLÍTÁSOK'!B39/100,0)*100</f>
        <v>11000</v>
      </c>
      <c r="F109" s="24" t="n">
        <f aca="false">ROUND(D109*'⚙️ BEÁLLÍTÁSOK'!B40/100,0)*100</f>
        <v>12600</v>
      </c>
      <c r="G109" s="24" t="n">
        <f aca="false">ROUND(D109*'⚙️ BEÁLLÍTÁSOK'!B41/100,0)*100</f>
        <v>11900</v>
      </c>
      <c r="H109" s="24" t="n">
        <f aca="false">ROUND(D109*'⚙️ BEÁLLÍTÁSOK'!B42/100,0)*100</f>
        <v>11000</v>
      </c>
      <c r="I109" s="24" t="n">
        <f aca="false">ROUND(D109*'⚙️ BEÁLLÍTÁSOK'!B43/100,0)*100</f>
        <v>10200</v>
      </c>
      <c r="J109" s="24" t="n">
        <f aca="false">ROUND(D109*'⚙️ BEÁLLÍTÁSOK'!B44/100,0)*100</f>
        <v>13800</v>
      </c>
      <c r="K109" s="25"/>
    </row>
    <row r="110" customFormat="false" ht="19.5" hidden="false" customHeight="true" outlineLevel="0" collapsed="false">
      <c r="A110" s="26"/>
      <c r="B110" s="27" t="s">
        <v>219</v>
      </c>
      <c r="C110" s="28" t="s">
        <v>101</v>
      </c>
      <c r="D110" s="23" t="n">
        <v>7000</v>
      </c>
      <c r="E110" s="29" t="n">
        <f aca="false">ROUND(D110*'⚙️ BEÁLLÍTÁSOK'!B39/100,0)*100</f>
        <v>7000</v>
      </c>
      <c r="F110" s="29" t="n">
        <f aca="false">ROUND(D110*'⚙️ BEÁLLÍTÁSOK'!B40/100,0)*100</f>
        <v>8000</v>
      </c>
      <c r="G110" s="29" t="n">
        <f aca="false">ROUND(D110*'⚙️ BEÁLLÍTÁSOK'!B41/100,0)*100</f>
        <v>7600</v>
      </c>
      <c r="H110" s="29" t="n">
        <f aca="false">ROUND(D110*'⚙️ BEÁLLÍTÁSOK'!B42/100,0)*100</f>
        <v>7000</v>
      </c>
      <c r="I110" s="29" t="n">
        <f aca="false">ROUND(D110*'⚙️ BEÁLLÍTÁSOK'!B43/100,0)*100</f>
        <v>6500</v>
      </c>
      <c r="J110" s="29" t="n">
        <f aca="false">ROUND(D110*'⚙️ BEÁLLÍTÁSOK'!B44/100,0)*100</f>
        <v>8800</v>
      </c>
      <c r="K110" s="30" t="s">
        <v>220</v>
      </c>
    </row>
    <row r="111" customFormat="false" ht="19.5" hidden="false" customHeight="true" outlineLevel="0" collapsed="false">
      <c r="A111" s="20"/>
      <c r="B111" s="21" t="s">
        <v>221</v>
      </c>
      <c r="C111" s="22" t="s">
        <v>101</v>
      </c>
      <c r="D111" s="23" t="n">
        <v>13000</v>
      </c>
      <c r="E111" s="24" t="n">
        <f aca="false">ROUND(D111*'⚙️ BEÁLLÍTÁSOK'!B39/100,0)*100</f>
        <v>13000</v>
      </c>
      <c r="F111" s="24" t="n">
        <f aca="false">ROUND(D111*'⚙️ BEÁLLÍTÁSOK'!B40/100,0)*100</f>
        <v>14900</v>
      </c>
      <c r="G111" s="24" t="n">
        <f aca="false">ROUND(D111*'⚙️ BEÁLLÍTÁSOK'!B41/100,0)*100</f>
        <v>14000</v>
      </c>
      <c r="H111" s="24" t="n">
        <f aca="false">ROUND(D111*'⚙️ BEÁLLÍTÁSOK'!B42/100,0)*100</f>
        <v>13000</v>
      </c>
      <c r="I111" s="24" t="n">
        <f aca="false">ROUND(D111*'⚙️ BEÁLLÍTÁSOK'!B43/100,0)*100</f>
        <v>12100</v>
      </c>
      <c r="J111" s="24" t="n">
        <f aca="false">ROUND(D111*'⚙️ BEÁLLÍTÁSOK'!B44/100,0)*100</f>
        <v>16300</v>
      </c>
      <c r="K111" s="25"/>
    </row>
    <row r="112" customFormat="false" ht="19.5" hidden="false" customHeight="true" outlineLevel="0" collapsed="false">
      <c r="A112" s="26"/>
      <c r="B112" s="27" t="s">
        <v>222</v>
      </c>
      <c r="C112" s="28" t="s">
        <v>101</v>
      </c>
      <c r="D112" s="23" t="n">
        <v>10000</v>
      </c>
      <c r="E112" s="29" t="n">
        <f aca="false">ROUND(D112*'⚙️ BEÁLLÍTÁSOK'!B39/100,0)*100</f>
        <v>10000</v>
      </c>
      <c r="F112" s="29" t="n">
        <f aca="false">ROUND(D112*'⚙️ BEÁLLÍTÁSOK'!B40/100,0)*100</f>
        <v>11500</v>
      </c>
      <c r="G112" s="29" t="n">
        <f aca="false">ROUND(D112*'⚙️ BEÁLLÍTÁSOK'!B41/100,0)*100</f>
        <v>10800</v>
      </c>
      <c r="H112" s="29" t="n">
        <f aca="false">ROUND(D112*'⚙️ BEÁLLÍTÁSOK'!B42/100,0)*100</f>
        <v>10000</v>
      </c>
      <c r="I112" s="29" t="n">
        <f aca="false">ROUND(D112*'⚙️ BEÁLLÍTÁSOK'!B43/100,0)*100</f>
        <v>9300</v>
      </c>
      <c r="J112" s="29" t="n">
        <f aca="false">ROUND(D112*'⚙️ BEÁLLÍTÁSOK'!B44/100,0)*100</f>
        <v>12500</v>
      </c>
      <c r="K112" s="30"/>
    </row>
    <row r="113" customFormat="false" ht="19.5" hidden="false" customHeight="true" outlineLevel="0" collapsed="false">
      <c r="A113" s="20"/>
      <c r="B113" s="21" t="s">
        <v>223</v>
      </c>
      <c r="C113" s="22" t="s">
        <v>101</v>
      </c>
      <c r="D113" s="23" t="n">
        <v>10000</v>
      </c>
      <c r="E113" s="24" t="n">
        <f aca="false">ROUND(D113*'⚙️ BEÁLLÍTÁSOK'!B39/100,0)*100</f>
        <v>10000</v>
      </c>
      <c r="F113" s="24" t="n">
        <f aca="false">ROUND(D113*'⚙️ BEÁLLÍTÁSOK'!B40/100,0)*100</f>
        <v>11500</v>
      </c>
      <c r="G113" s="24" t="n">
        <f aca="false">ROUND(D113*'⚙️ BEÁLLÍTÁSOK'!B41/100,0)*100</f>
        <v>10800</v>
      </c>
      <c r="H113" s="24" t="n">
        <f aca="false">ROUND(D113*'⚙️ BEÁLLÍTÁSOK'!B42/100,0)*100</f>
        <v>10000</v>
      </c>
      <c r="I113" s="24" t="n">
        <f aca="false">ROUND(D113*'⚙️ BEÁLLÍTÁSOK'!B43/100,0)*100</f>
        <v>9300</v>
      </c>
      <c r="J113" s="24" t="n">
        <f aca="false">ROUND(D113*'⚙️ BEÁLLÍTÁSOK'!B44/100,0)*100</f>
        <v>12500</v>
      </c>
      <c r="K113" s="25"/>
    </row>
    <row r="114" customFormat="false" ht="19.5" hidden="false" customHeight="true" outlineLevel="0" collapsed="false">
      <c r="A114" s="26"/>
      <c r="B114" s="27" t="s">
        <v>224</v>
      </c>
      <c r="C114" s="28" t="s">
        <v>101</v>
      </c>
      <c r="D114" s="23" t="n">
        <v>17000</v>
      </c>
      <c r="E114" s="29" t="n">
        <f aca="false">ROUND(D114*'⚙️ BEÁLLÍTÁSOK'!B39/100,0)*100</f>
        <v>17000</v>
      </c>
      <c r="F114" s="29" t="n">
        <f aca="false">ROUND(D114*'⚙️ BEÁLLÍTÁSOK'!B40/100,0)*100</f>
        <v>19600</v>
      </c>
      <c r="G114" s="29" t="n">
        <f aca="false">ROUND(D114*'⚙️ BEÁLLÍTÁSOK'!B41/100,0)*100</f>
        <v>18400</v>
      </c>
      <c r="H114" s="29" t="n">
        <f aca="false">ROUND(D114*'⚙️ BEÁLLÍTÁSOK'!B42/100,0)*100</f>
        <v>17000</v>
      </c>
      <c r="I114" s="29" t="n">
        <f aca="false">ROUND(D114*'⚙️ BEÁLLÍTÁSOK'!B43/100,0)*100</f>
        <v>15800</v>
      </c>
      <c r="J114" s="29" t="n">
        <f aca="false">ROUND(D114*'⚙️ BEÁLLÍTÁSOK'!B44/100,0)*100</f>
        <v>21300</v>
      </c>
      <c r="K114" s="30"/>
    </row>
    <row r="115" customFormat="false" ht="19.5" hidden="false" customHeight="true" outlineLevel="0" collapsed="false">
      <c r="A115" s="20"/>
      <c r="B115" s="21" t="s">
        <v>225</v>
      </c>
      <c r="C115" s="22" t="s">
        <v>101</v>
      </c>
      <c r="D115" s="23" t="n">
        <v>11000</v>
      </c>
      <c r="E115" s="24" t="n">
        <f aca="false">ROUND(D115*'⚙️ BEÁLLÍTÁSOK'!B39/100,0)*100</f>
        <v>11000</v>
      </c>
      <c r="F115" s="24" t="n">
        <f aca="false">ROUND(D115*'⚙️ BEÁLLÍTÁSOK'!B40/100,0)*100</f>
        <v>12600</v>
      </c>
      <c r="G115" s="24" t="n">
        <f aca="false">ROUND(D115*'⚙️ BEÁLLÍTÁSOK'!B41/100,0)*100</f>
        <v>11900</v>
      </c>
      <c r="H115" s="24" t="n">
        <f aca="false">ROUND(D115*'⚙️ BEÁLLÍTÁSOK'!B42/100,0)*100</f>
        <v>11000</v>
      </c>
      <c r="I115" s="24" t="n">
        <f aca="false">ROUND(D115*'⚙️ BEÁLLÍTÁSOK'!B43/100,0)*100</f>
        <v>10200</v>
      </c>
      <c r="J115" s="24" t="n">
        <f aca="false">ROUND(D115*'⚙️ BEÁLLÍTÁSOK'!B44/100,0)*100</f>
        <v>13800</v>
      </c>
      <c r="K115" s="25"/>
    </row>
    <row r="116" customFormat="false" ht="19.5" hidden="false" customHeight="true" outlineLevel="0" collapsed="false">
      <c r="A116" s="26"/>
      <c r="B116" s="27" t="s">
        <v>226</v>
      </c>
      <c r="C116" s="28" t="s">
        <v>101</v>
      </c>
      <c r="D116" s="23" t="n">
        <v>16000</v>
      </c>
      <c r="E116" s="29" t="n">
        <f aca="false">ROUND(D116*'⚙️ BEÁLLÍTÁSOK'!B39/100,0)*100</f>
        <v>16000</v>
      </c>
      <c r="F116" s="29" t="n">
        <f aca="false">ROUND(D116*'⚙️ BEÁLLÍTÁSOK'!B40/100,0)*100</f>
        <v>18400</v>
      </c>
      <c r="G116" s="29" t="n">
        <f aca="false">ROUND(D116*'⚙️ BEÁLLÍTÁSOK'!B41/100,0)*100</f>
        <v>17300</v>
      </c>
      <c r="H116" s="29" t="n">
        <f aca="false">ROUND(D116*'⚙️ BEÁLLÍTÁSOK'!B42/100,0)*100</f>
        <v>16000</v>
      </c>
      <c r="I116" s="29" t="n">
        <f aca="false">ROUND(D116*'⚙️ BEÁLLÍTÁSOK'!B43/100,0)*100</f>
        <v>14900</v>
      </c>
      <c r="J116" s="29" t="n">
        <f aca="false">ROUND(D116*'⚙️ BEÁLLÍTÁSOK'!B44/100,0)*100</f>
        <v>20000</v>
      </c>
      <c r="K116" s="30"/>
    </row>
    <row r="117" customFormat="false" ht="19.5" hidden="false" customHeight="true" outlineLevel="0" collapsed="false">
      <c r="A117" s="20"/>
      <c r="B117" s="21" t="s">
        <v>227</v>
      </c>
      <c r="C117" s="22" t="s">
        <v>101</v>
      </c>
      <c r="D117" s="23" t="n">
        <v>28000</v>
      </c>
      <c r="E117" s="24" t="n">
        <f aca="false">ROUND(D117*'⚙️ BEÁLLÍTÁSOK'!B39/100,0)*100</f>
        <v>28000</v>
      </c>
      <c r="F117" s="24" t="n">
        <f aca="false">ROUND(D117*'⚙️ BEÁLLÍTÁSOK'!B40/100,0)*100</f>
        <v>32200</v>
      </c>
      <c r="G117" s="24" t="n">
        <f aca="false">ROUND(D117*'⚙️ BEÁLLÍTÁSOK'!B41/100,0)*100</f>
        <v>30200</v>
      </c>
      <c r="H117" s="24" t="n">
        <f aca="false">ROUND(D117*'⚙️ BEÁLLÍTÁSOK'!B42/100,0)*100</f>
        <v>28000</v>
      </c>
      <c r="I117" s="24" t="n">
        <f aca="false">ROUND(D117*'⚙️ BEÁLLÍTÁSOK'!B43/100,0)*100</f>
        <v>26000</v>
      </c>
      <c r="J117" s="24" t="n">
        <f aca="false">ROUND(D117*'⚙️ BEÁLLÍTÁSOK'!B44/100,0)*100</f>
        <v>35000</v>
      </c>
      <c r="K117" s="25"/>
    </row>
    <row r="118" customFormat="false" ht="18" hidden="false" customHeight="true" outlineLevel="0" collapsed="false">
      <c r="A118" s="33" t="s">
        <v>228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 customFormat="false" ht="19.5" hidden="false" customHeight="true" outlineLevel="0" collapsed="false">
      <c r="A119" s="20"/>
      <c r="B119" s="21" t="s">
        <v>229</v>
      </c>
      <c r="C119" s="22" t="s">
        <v>101</v>
      </c>
      <c r="D119" s="23" t="n">
        <v>6000</v>
      </c>
      <c r="E119" s="24" t="n">
        <f aca="false">ROUND(D119*'⚙️ BEÁLLÍTÁSOK'!B39/100,0)*100</f>
        <v>6000</v>
      </c>
      <c r="F119" s="24" t="n">
        <f aca="false">ROUND(D119*'⚙️ BEÁLLÍTÁSOK'!B40/100,0)*100</f>
        <v>6900</v>
      </c>
      <c r="G119" s="24" t="n">
        <f aca="false">ROUND(D119*'⚙️ BEÁLLÍTÁSOK'!B41/100,0)*100</f>
        <v>6500</v>
      </c>
      <c r="H119" s="24" t="n">
        <f aca="false">ROUND(D119*'⚙️ BEÁLLÍTÁSOK'!B42/100,0)*100</f>
        <v>6000</v>
      </c>
      <c r="I119" s="24" t="n">
        <f aca="false">ROUND(D119*'⚙️ BEÁLLÍTÁSOK'!B43/100,0)*100</f>
        <v>5600</v>
      </c>
      <c r="J119" s="24" t="n">
        <f aca="false">ROUND(D119*'⚙️ BEÁLLÍTÁSOK'!B44/100,0)*100</f>
        <v>7500</v>
      </c>
      <c r="K119" s="25"/>
    </row>
    <row r="120" customFormat="false" ht="19.5" hidden="false" customHeight="true" outlineLevel="0" collapsed="false">
      <c r="A120" s="26"/>
      <c r="B120" s="27" t="s">
        <v>230</v>
      </c>
      <c r="C120" s="28" t="s">
        <v>101</v>
      </c>
      <c r="D120" s="23" t="n">
        <v>12000</v>
      </c>
      <c r="E120" s="29" t="n">
        <f aca="false">ROUND(D120*'⚙️ BEÁLLÍTÁSOK'!B39/100,0)*100</f>
        <v>12000</v>
      </c>
      <c r="F120" s="29" t="n">
        <f aca="false">ROUND(D120*'⚙️ BEÁLLÍTÁSOK'!B40/100,0)*100</f>
        <v>13800</v>
      </c>
      <c r="G120" s="29" t="n">
        <f aca="false">ROUND(D120*'⚙️ BEÁLLÍTÁSOK'!B41/100,0)*100</f>
        <v>13000</v>
      </c>
      <c r="H120" s="29" t="n">
        <f aca="false">ROUND(D120*'⚙️ BEÁLLÍTÁSOK'!B42/100,0)*100</f>
        <v>12000</v>
      </c>
      <c r="I120" s="29" t="n">
        <f aca="false">ROUND(D120*'⚙️ BEÁLLÍTÁSOK'!B43/100,0)*100</f>
        <v>11200</v>
      </c>
      <c r="J120" s="29" t="n">
        <f aca="false">ROUND(D120*'⚙️ BEÁLLÍTÁSOK'!B44/100,0)*100</f>
        <v>15000</v>
      </c>
      <c r="K120" s="30" t="s">
        <v>220</v>
      </c>
    </row>
    <row r="121" customFormat="false" ht="19.5" hidden="false" customHeight="true" outlineLevel="0" collapsed="false">
      <c r="A121" s="20"/>
      <c r="B121" s="21" t="s">
        <v>231</v>
      </c>
      <c r="C121" s="22" t="s">
        <v>101</v>
      </c>
      <c r="D121" s="23" t="n">
        <v>20000</v>
      </c>
      <c r="E121" s="24" t="n">
        <f aca="false">ROUND(D121*'⚙️ BEÁLLÍTÁSOK'!B39/100,0)*100</f>
        <v>20000</v>
      </c>
      <c r="F121" s="24" t="n">
        <f aca="false">ROUND(D121*'⚙️ BEÁLLÍTÁSOK'!B40/100,0)*100</f>
        <v>23000</v>
      </c>
      <c r="G121" s="24" t="n">
        <f aca="false">ROUND(D121*'⚙️ BEÁLLÍTÁSOK'!B41/100,0)*100</f>
        <v>21600</v>
      </c>
      <c r="H121" s="24" t="n">
        <f aca="false">ROUND(D121*'⚙️ BEÁLLÍTÁSOK'!B42/100,0)*100</f>
        <v>20000</v>
      </c>
      <c r="I121" s="24" t="n">
        <f aca="false">ROUND(D121*'⚙️ BEÁLLÍTÁSOK'!B43/100,0)*100</f>
        <v>18600</v>
      </c>
      <c r="J121" s="24" t="n">
        <f aca="false">ROUND(D121*'⚙️ BEÁLLÍTÁSOK'!B44/100,0)*100</f>
        <v>25000</v>
      </c>
      <c r="K121" s="25"/>
    </row>
    <row r="122" customFormat="false" ht="19.5" hidden="false" customHeight="true" outlineLevel="0" collapsed="false">
      <c r="A122" s="26"/>
      <c r="B122" s="27" t="s">
        <v>232</v>
      </c>
      <c r="C122" s="28" t="s">
        <v>101</v>
      </c>
      <c r="D122" s="23" t="n">
        <v>10000</v>
      </c>
      <c r="E122" s="29" t="n">
        <f aca="false">ROUND(D122*'⚙️ BEÁLLÍTÁSOK'!B39/100,0)*100</f>
        <v>10000</v>
      </c>
      <c r="F122" s="29" t="n">
        <f aca="false">ROUND(D122*'⚙️ BEÁLLÍTÁSOK'!B40/100,0)*100</f>
        <v>11500</v>
      </c>
      <c r="G122" s="29" t="n">
        <f aca="false">ROUND(D122*'⚙️ BEÁLLÍTÁSOK'!B41/100,0)*100</f>
        <v>10800</v>
      </c>
      <c r="H122" s="29" t="n">
        <f aca="false">ROUND(D122*'⚙️ BEÁLLÍTÁSOK'!B42/100,0)*100</f>
        <v>10000</v>
      </c>
      <c r="I122" s="29" t="n">
        <f aca="false">ROUND(D122*'⚙️ BEÁLLÍTÁSOK'!B43/100,0)*100</f>
        <v>9300</v>
      </c>
      <c r="J122" s="29" t="n">
        <f aca="false">ROUND(D122*'⚙️ BEÁLLÍTÁSOK'!B44/100,0)*100</f>
        <v>12500</v>
      </c>
      <c r="K122" s="30"/>
    </row>
    <row r="123" customFormat="false" ht="19.5" hidden="false" customHeight="true" outlineLevel="0" collapsed="false">
      <c r="A123" s="20"/>
      <c r="B123" s="21" t="s">
        <v>233</v>
      </c>
      <c r="C123" s="22" t="s">
        <v>101</v>
      </c>
      <c r="D123" s="23" t="n">
        <v>12000</v>
      </c>
      <c r="E123" s="24" t="n">
        <f aca="false">ROUND(D123*'⚙️ BEÁLLÍTÁSOK'!B39/100,0)*100</f>
        <v>12000</v>
      </c>
      <c r="F123" s="24" t="n">
        <f aca="false">ROUND(D123*'⚙️ BEÁLLÍTÁSOK'!B40/100,0)*100</f>
        <v>13800</v>
      </c>
      <c r="G123" s="24" t="n">
        <f aca="false">ROUND(D123*'⚙️ BEÁLLÍTÁSOK'!B41/100,0)*100</f>
        <v>13000</v>
      </c>
      <c r="H123" s="24" t="n">
        <f aca="false">ROUND(D123*'⚙️ BEÁLLÍTÁSOK'!B42/100,0)*100</f>
        <v>12000</v>
      </c>
      <c r="I123" s="24" t="n">
        <f aca="false">ROUND(D123*'⚙️ BEÁLLÍTÁSOK'!B43/100,0)*100</f>
        <v>11200</v>
      </c>
      <c r="J123" s="24" t="n">
        <f aca="false">ROUND(D123*'⚙️ BEÁLLÍTÁSOK'!B44/100,0)*100</f>
        <v>15000</v>
      </c>
      <c r="K123" s="25"/>
    </row>
    <row r="124" customFormat="false" ht="19.5" hidden="false" customHeight="true" outlineLevel="0" collapsed="false">
      <c r="A124" s="26"/>
      <c r="B124" s="27" t="s">
        <v>234</v>
      </c>
      <c r="C124" s="28" t="s">
        <v>101</v>
      </c>
      <c r="D124" s="23" t="n">
        <v>17000</v>
      </c>
      <c r="E124" s="29" t="n">
        <f aca="false">ROUND(D124*'⚙️ BEÁLLÍTÁSOK'!B39/100,0)*100</f>
        <v>17000</v>
      </c>
      <c r="F124" s="29" t="n">
        <f aca="false">ROUND(D124*'⚙️ BEÁLLÍTÁSOK'!B40/100,0)*100</f>
        <v>19600</v>
      </c>
      <c r="G124" s="29" t="n">
        <f aca="false">ROUND(D124*'⚙️ BEÁLLÍTÁSOK'!B41/100,0)*100</f>
        <v>18400</v>
      </c>
      <c r="H124" s="29" t="n">
        <f aca="false">ROUND(D124*'⚙️ BEÁLLÍTÁSOK'!B42/100,0)*100</f>
        <v>17000</v>
      </c>
      <c r="I124" s="29" t="n">
        <f aca="false">ROUND(D124*'⚙️ BEÁLLÍTÁSOK'!B43/100,0)*100</f>
        <v>15800</v>
      </c>
      <c r="J124" s="29" t="n">
        <f aca="false">ROUND(D124*'⚙️ BEÁLLÍTÁSOK'!B44/100,0)*100</f>
        <v>21300</v>
      </c>
      <c r="K124" s="30"/>
    </row>
    <row r="125" customFormat="false" ht="19.5" hidden="false" customHeight="true" outlineLevel="0" collapsed="false">
      <c r="A125" s="20"/>
      <c r="B125" s="21" t="s">
        <v>235</v>
      </c>
      <c r="C125" s="22" t="s">
        <v>101</v>
      </c>
      <c r="D125" s="23" t="n">
        <v>10000</v>
      </c>
      <c r="E125" s="24" t="n">
        <f aca="false">ROUND(D125*'⚙️ BEÁLLÍTÁSOK'!B39/100,0)*100</f>
        <v>10000</v>
      </c>
      <c r="F125" s="24" t="n">
        <f aca="false">ROUND(D125*'⚙️ BEÁLLÍTÁSOK'!B40/100,0)*100</f>
        <v>11500</v>
      </c>
      <c r="G125" s="24" t="n">
        <f aca="false">ROUND(D125*'⚙️ BEÁLLÍTÁSOK'!B41/100,0)*100</f>
        <v>10800</v>
      </c>
      <c r="H125" s="24" t="n">
        <f aca="false">ROUND(D125*'⚙️ BEÁLLÍTÁSOK'!B42/100,0)*100</f>
        <v>10000</v>
      </c>
      <c r="I125" s="24" t="n">
        <f aca="false">ROUND(D125*'⚙️ BEÁLLÍTÁSOK'!B43/100,0)*100</f>
        <v>9300</v>
      </c>
      <c r="J125" s="24" t="n">
        <f aca="false">ROUND(D125*'⚙️ BEÁLLÍTÁSOK'!B44/100,0)*100</f>
        <v>12500</v>
      </c>
      <c r="K125" s="25"/>
    </row>
    <row r="126" customFormat="false" ht="19.5" hidden="false" customHeight="true" outlineLevel="0" collapsed="false">
      <c r="A126" s="26"/>
      <c r="B126" s="27" t="s">
        <v>236</v>
      </c>
      <c r="C126" s="28" t="s">
        <v>101</v>
      </c>
      <c r="D126" s="23" t="n">
        <v>9000</v>
      </c>
      <c r="E126" s="29" t="n">
        <f aca="false">ROUND(D126*'⚙️ BEÁLLÍTÁSOK'!B39/100,0)*100</f>
        <v>9000</v>
      </c>
      <c r="F126" s="29" t="n">
        <f aca="false">ROUND(D126*'⚙️ BEÁLLÍTÁSOK'!B40/100,0)*100</f>
        <v>10400</v>
      </c>
      <c r="G126" s="29" t="n">
        <f aca="false">ROUND(D126*'⚙️ BEÁLLÍTÁSOK'!B41/100,0)*100</f>
        <v>9700</v>
      </c>
      <c r="H126" s="29" t="n">
        <f aca="false">ROUND(D126*'⚙️ BEÁLLÍTÁSOK'!B42/100,0)*100</f>
        <v>9000</v>
      </c>
      <c r="I126" s="29" t="n">
        <f aca="false">ROUND(D126*'⚙️ BEÁLLÍTÁSOK'!B43/100,0)*100</f>
        <v>8400</v>
      </c>
      <c r="J126" s="29" t="n">
        <f aca="false">ROUND(D126*'⚙️ BEÁLLÍTÁSOK'!B44/100,0)*100</f>
        <v>11300</v>
      </c>
      <c r="K126" s="30"/>
    </row>
    <row r="127" customFormat="false" ht="21.75" hidden="false" customHeight="true" outlineLevel="0" collapsed="false">
      <c r="A127" s="19" t="s">
        <v>237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customFormat="false" ht="12.75" hidden="false" customHeight="true" outlineLevel="0" collapsed="false">
      <c r="A128" s="12" t="s">
        <v>238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customFormat="false" ht="19.5" hidden="false" customHeight="true" outlineLevel="0" collapsed="false">
      <c r="A129" s="20"/>
      <c r="B129" s="21" t="s">
        <v>239</v>
      </c>
      <c r="C129" s="22" t="s">
        <v>92</v>
      </c>
      <c r="D129" s="23" t="n">
        <v>0</v>
      </c>
      <c r="E129" s="36" t="s">
        <v>240</v>
      </c>
      <c r="F129" s="36" t="s">
        <v>240</v>
      </c>
      <c r="G129" s="36" t="s">
        <v>240</v>
      </c>
      <c r="H129" s="36" t="s">
        <v>240</v>
      </c>
      <c r="I129" s="36" t="s">
        <v>240</v>
      </c>
      <c r="J129" s="36" t="s">
        <v>240</v>
      </c>
      <c r="K129" s="25" t="s">
        <v>241</v>
      </c>
    </row>
    <row r="130" customFormat="false" ht="19.5" hidden="false" customHeight="true" outlineLevel="0" collapsed="false">
      <c r="A130" s="26"/>
      <c r="B130" s="27" t="s">
        <v>242</v>
      </c>
      <c r="C130" s="28" t="s">
        <v>109</v>
      </c>
      <c r="D130" s="23" t="n">
        <v>380000</v>
      </c>
      <c r="E130" s="29" t="n">
        <f aca="false">ROUND(D130*'⚙️ BEÁLLÍTÁSOK'!B39/100,0)*100</f>
        <v>380000</v>
      </c>
      <c r="F130" s="29" t="n">
        <f aca="false">ROUND(D130*'⚙️ BEÁLLÍTÁSOK'!B40/100,0)*100</f>
        <v>437000</v>
      </c>
      <c r="G130" s="29" t="n">
        <f aca="false">ROUND(D130*'⚙️ BEÁLLÍTÁSOK'!B41/100,0)*100</f>
        <v>410400</v>
      </c>
      <c r="H130" s="29" t="n">
        <f aca="false">ROUND(D130*'⚙️ BEÁLLÍTÁSOK'!B42/100,0)*100</f>
        <v>380000</v>
      </c>
      <c r="I130" s="29" t="n">
        <f aca="false">ROUND(D130*'⚙️ BEÁLLÍTÁSOK'!B43/100,0)*100</f>
        <v>353400</v>
      </c>
      <c r="J130" s="29" t="n">
        <f aca="false">ROUND(D130*'⚙️ BEÁLLÍTÁSOK'!B44/100,0)*100</f>
        <v>475000</v>
      </c>
      <c r="K130" s="30"/>
    </row>
    <row r="131" customFormat="false" ht="19.5" hidden="false" customHeight="true" outlineLevel="0" collapsed="false">
      <c r="A131" s="20"/>
      <c r="B131" s="21" t="s">
        <v>243</v>
      </c>
      <c r="C131" s="22" t="s">
        <v>109</v>
      </c>
      <c r="D131" s="31" t="s">
        <v>86</v>
      </c>
      <c r="E131" s="32" t="s">
        <v>87</v>
      </c>
      <c r="F131" s="32" t="s">
        <v>87</v>
      </c>
      <c r="G131" s="32" t="s">
        <v>87</v>
      </c>
      <c r="H131" s="32" t="s">
        <v>87</v>
      </c>
      <c r="I131" s="32" t="s">
        <v>87</v>
      </c>
      <c r="J131" s="32" t="s">
        <v>87</v>
      </c>
      <c r="K131" s="25" t="s">
        <v>244</v>
      </c>
    </row>
    <row r="132" customFormat="false" ht="19.5" hidden="false" customHeight="true" outlineLevel="0" collapsed="false">
      <c r="A132" s="26"/>
      <c r="B132" s="27" t="s">
        <v>245</v>
      </c>
      <c r="C132" s="28" t="s">
        <v>80</v>
      </c>
      <c r="D132" s="23" t="n">
        <v>140000</v>
      </c>
      <c r="E132" s="29" t="n">
        <f aca="false">ROUND(D132*'⚙️ BEÁLLÍTÁSOK'!B39/100,0)*100</f>
        <v>140000</v>
      </c>
      <c r="F132" s="29" t="n">
        <f aca="false">ROUND(D132*'⚙️ BEÁLLÍTÁSOK'!B40/100,0)*100</f>
        <v>161000</v>
      </c>
      <c r="G132" s="29" t="n">
        <f aca="false">ROUND(D132*'⚙️ BEÁLLÍTÁSOK'!B41/100,0)*100</f>
        <v>151200</v>
      </c>
      <c r="H132" s="29" t="n">
        <f aca="false">ROUND(D132*'⚙️ BEÁLLÍTÁSOK'!B42/100,0)*100</f>
        <v>140000</v>
      </c>
      <c r="I132" s="29" t="n">
        <f aca="false">ROUND(D132*'⚙️ BEÁLLÍTÁSOK'!B43/100,0)*100</f>
        <v>130200</v>
      </c>
      <c r="J132" s="29" t="n">
        <f aca="false">ROUND(D132*'⚙️ BEÁLLÍTÁSOK'!B44/100,0)*100</f>
        <v>175000</v>
      </c>
      <c r="K132" s="30"/>
    </row>
    <row r="133" customFormat="false" ht="19.5" hidden="false" customHeight="true" outlineLevel="0" collapsed="false">
      <c r="A133" s="20"/>
      <c r="B133" s="21" t="s">
        <v>246</v>
      </c>
      <c r="C133" s="22" t="s">
        <v>92</v>
      </c>
      <c r="D133" s="23" t="n">
        <v>95000</v>
      </c>
      <c r="E133" s="24" t="n">
        <f aca="false">ROUND(D133*'⚙️ BEÁLLÍTÁSOK'!B39/100,0)*100</f>
        <v>95000</v>
      </c>
      <c r="F133" s="24" t="n">
        <f aca="false">ROUND(D133*'⚙️ BEÁLLÍTÁSOK'!B40/100,0)*100</f>
        <v>109200</v>
      </c>
      <c r="G133" s="24" t="n">
        <f aca="false">ROUND(D133*'⚙️ BEÁLLÍTÁSOK'!B41/100,0)*100</f>
        <v>102600</v>
      </c>
      <c r="H133" s="24" t="n">
        <f aca="false">ROUND(D133*'⚙️ BEÁLLÍTÁSOK'!B42/100,0)*100</f>
        <v>95000</v>
      </c>
      <c r="I133" s="24" t="n">
        <f aca="false">ROUND(D133*'⚙️ BEÁLLÍTÁSOK'!B43/100,0)*100</f>
        <v>88400</v>
      </c>
      <c r="J133" s="24" t="n">
        <f aca="false">ROUND(D133*'⚙️ BEÁLLÍTÁSOK'!B44/100,0)*100</f>
        <v>118800</v>
      </c>
      <c r="K133" s="25"/>
    </row>
    <row r="134" customFormat="false" ht="19.5" hidden="false" customHeight="true" outlineLevel="0" collapsed="false">
      <c r="A134" s="26"/>
      <c r="B134" s="27" t="s">
        <v>247</v>
      </c>
      <c r="C134" s="28" t="s">
        <v>109</v>
      </c>
      <c r="D134" s="23" t="n">
        <v>85000</v>
      </c>
      <c r="E134" s="29" t="n">
        <f aca="false">ROUND(D134*'⚙️ BEÁLLÍTÁSOK'!B39/100,0)*100</f>
        <v>85000</v>
      </c>
      <c r="F134" s="29" t="n">
        <f aca="false">ROUND(D134*'⚙️ BEÁLLÍTÁSOK'!B40/100,0)*100</f>
        <v>97700</v>
      </c>
      <c r="G134" s="29" t="n">
        <f aca="false">ROUND(D134*'⚙️ BEÁLLÍTÁSOK'!B41/100,0)*100</f>
        <v>91800</v>
      </c>
      <c r="H134" s="29" t="n">
        <f aca="false">ROUND(D134*'⚙️ BEÁLLÍTÁSOK'!B42/100,0)*100</f>
        <v>85000</v>
      </c>
      <c r="I134" s="29" t="n">
        <f aca="false">ROUND(D134*'⚙️ BEÁLLÍTÁSOK'!B43/100,0)*100</f>
        <v>79100</v>
      </c>
      <c r="J134" s="29" t="n">
        <f aca="false">ROUND(D134*'⚙️ BEÁLLÍTÁSOK'!B44/100,0)*100</f>
        <v>106300</v>
      </c>
      <c r="K134" s="30"/>
    </row>
    <row r="135" customFormat="false" ht="19.5" hidden="false" customHeight="true" outlineLevel="0" collapsed="false">
      <c r="A135" s="20"/>
      <c r="B135" s="21" t="s">
        <v>248</v>
      </c>
      <c r="C135" s="22" t="s">
        <v>109</v>
      </c>
      <c r="D135" s="23" t="n">
        <v>95000</v>
      </c>
      <c r="E135" s="24" t="n">
        <f aca="false">ROUND(D135*'⚙️ BEÁLLÍTÁSOK'!B39/100,0)*100</f>
        <v>95000</v>
      </c>
      <c r="F135" s="24" t="n">
        <f aca="false">ROUND(D135*'⚙️ BEÁLLÍTÁSOK'!B40/100,0)*100</f>
        <v>109200</v>
      </c>
      <c r="G135" s="24" t="n">
        <f aca="false">ROUND(D135*'⚙️ BEÁLLÍTÁSOK'!B41/100,0)*100</f>
        <v>102600</v>
      </c>
      <c r="H135" s="24" t="n">
        <f aca="false">ROUND(D135*'⚙️ BEÁLLÍTÁSOK'!B42/100,0)*100</f>
        <v>95000</v>
      </c>
      <c r="I135" s="24" t="n">
        <f aca="false">ROUND(D135*'⚙️ BEÁLLÍTÁSOK'!B43/100,0)*100</f>
        <v>88400</v>
      </c>
      <c r="J135" s="24" t="n">
        <f aca="false">ROUND(D135*'⚙️ BEÁLLÍTÁSOK'!B44/100,0)*100</f>
        <v>118800</v>
      </c>
      <c r="K135" s="25"/>
    </row>
    <row r="136" customFormat="false" ht="21.75" hidden="false" customHeight="true" outlineLevel="0" collapsed="false">
      <c r="A136" s="19" t="s">
        <v>249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customFormat="false" ht="12.75" hidden="false" customHeight="true" outlineLevel="0" collapsed="false">
      <c r="A137" s="12" t="s">
        <v>250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customFormat="false" ht="18" hidden="false" customHeight="true" outlineLevel="0" collapsed="false">
      <c r="A138" s="33" t="s">
        <v>251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 customFormat="false" ht="19.5" hidden="false" customHeight="true" outlineLevel="0" collapsed="false">
      <c r="A139" s="20"/>
      <c r="B139" s="21" t="s">
        <v>252</v>
      </c>
      <c r="C139" s="22" t="s">
        <v>92</v>
      </c>
      <c r="D139" s="23" t="n">
        <v>18000</v>
      </c>
      <c r="E139" s="24" t="n">
        <f aca="false">ROUND(D139*'⚙️ BEÁLLÍTÁSOK'!B39/100,0)*100</f>
        <v>18000</v>
      </c>
      <c r="F139" s="24" t="n">
        <f aca="false">ROUND(D139*'⚙️ BEÁLLÍTÁSOK'!B40/100,0)*100</f>
        <v>20700</v>
      </c>
      <c r="G139" s="24" t="n">
        <f aca="false">ROUND(D139*'⚙️ BEÁLLÍTÁSOK'!B41/100,0)*100</f>
        <v>19400</v>
      </c>
      <c r="H139" s="24" t="n">
        <f aca="false">ROUND(D139*'⚙️ BEÁLLÍTÁSOK'!B42/100,0)*100</f>
        <v>18000</v>
      </c>
      <c r="I139" s="24" t="n">
        <f aca="false">ROUND(D139*'⚙️ BEÁLLÍTÁSOK'!B43/100,0)*100</f>
        <v>16700</v>
      </c>
      <c r="J139" s="24" t="n">
        <f aca="false">ROUND(D139*'⚙️ BEÁLLÍTÁSOK'!B44/100,0)*100</f>
        <v>22500</v>
      </c>
      <c r="K139" s="25" t="s">
        <v>253</v>
      </c>
    </row>
    <row r="140" customFormat="false" ht="19.5" hidden="false" customHeight="true" outlineLevel="0" collapsed="false">
      <c r="A140" s="26"/>
      <c r="B140" s="27" t="s">
        <v>254</v>
      </c>
      <c r="C140" s="28" t="s">
        <v>101</v>
      </c>
      <c r="D140" s="23" t="n">
        <v>20000</v>
      </c>
      <c r="E140" s="29" t="n">
        <f aca="false">ROUND(D140*'⚙️ BEÁLLÍTÁSOK'!B39/100,0)*100</f>
        <v>20000</v>
      </c>
      <c r="F140" s="29" t="n">
        <f aca="false">ROUND(D140*'⚙️ BEÁLLÍTÁSOK'!B40/100,0)*100</f>
        <v>23000</v>
      </c>
      <c r="G140" s="29" t="n">
        <f aca="false">ROUND(D140*'⚙️ BEÁLLÍTÁSOK'!B41/100,0)*100</f>
        <v>21600</v>
      </c>
      <c r="H140" s="29" t="n">
        <f aca="false">ROUND(D140*'⚙️ BEÁLLÍTÁSOK'!B42/100,0)*100</f>
        <v>20000</v>
      </c>
      <c r="I140" s="29" t="n">
        <f aca="false">ROUND(D140*'⚙️ BEÁLLÍTÁSOK'!B43/100,0)*100</f>
        <v>18600</v>
      </c>
      <c r="J140" s="29" t="n">
        <f aca="false">ROUND(D140*'⚙️ BEÁLLÍTÁSOK'!B44/100,0)*100</f>
        <v>25000</v>
      </c>
      <c r="K140" s="30" t="s">
        <v>151</v>
      </c>
    </row>
    <row r="141" customFormat="false" ht="19.5" hidden="false" customHeight="true" outlineLevel="0" collapsed="false">
      <c r="A141" s="20"/>
      <c r="B141" s="21" t="s">
        <v>255</v>
      </c>
      <c r="C141" s="22" t="s">
        <v>101</v>
      </c>
      <c r="D141" s="23" t="n">
        <v>17000</v>
      </c>
      <c r="E141" s="24" t="n">
        <f aca="false">ROUND(D141*'⚙️ BEÁLLÍTÁSOK'!B39/100,0)*100</f>
        <v>17000</v>
      </c>
      <c r="F141" s="24" t="n">
        <f aca="false">ROUND(D141*'⚙️ BEÁLLÍTÁSOK'!B40/100,0)*100</f>
        <v>19600</v>
      </c>
      <c r="G141" s="24" t="n">
        <f aca="false">ROUND(D141*'⚙️ BEÁLLÍTÁSOK'!B41/100,0)*100</f>
        <v>18400</v>
      </c>
      <c r="H141" s="24" t="n">
        <f aca="false">ROUND(D141*'⚙️ BEÁLLÍTÁSOK'!B42/100,0)*100</f>
        <v>17000</v>
      </c>
      <c r="I141" s="24" t="n">
        <f aca="false">ROUND(D141*'⚙️ BEÁLLÍTÁSOK'!B43/100,0)*100</f>
        <v>15800</v>
      </c>
      <c r="J141" s="24" t="n">
        <f aca="false">ROUND(D141*'⚙️ BEÁLLÍTÁSOK'!B44/100,0)*100</f>
        <v>21300</v>
      </c>
      <c r="K141" s="25"/>
    </row>
    <row r="142" customFormat="false" ht="19.5" hidden="false" customHeight="true" outlineLevel="0" collapsed="false">
      <c r="A142" s="26"/>
      <c r="B142" s="27" t="s">
        <v>256</v>
      </c>
      <c r="C142" s="28" t="s">
        <v>101</v>
      </c>
      <c r="D142" s="23" t="n">
        <v>26000</v>
      </c>
      <c r="E142" s="29" t="n">
        <f aca="false">ROUND(D142*'⚙️ BEÁLLÍTÁSOK'!B39/100,0)*100</f>
        <v>26000</v>
      </c>
      <c r="F142" s="29" t="n">
        <f aca="false">ROUND(D142*'⚙️ BEÁLLÍTÁSOK'!B40/100,0)*100</f>
        <v>29900</v>
      </c>
      <c r="G142" s="29" t="n">
        <f aca="false">ROUND(D142*'⚙️ BEÁLLÍTÁSOK'!B41/100,0)*100</f>
        <v>28100</v>
      </c>
      <c r="H142" s="29" t="n">
        <f aca="false">ROUND(D142*'⚙️ BEÁLLÍTÁSOK'!B42/100,0)*100</f>
        <v>26000</v>
      </c>
      <c r="I142" s="29" t="n">
        <f aca="false">ROUND(D142*'⚙️ BEÁLLÍTÁSOK'!B43/100,0)*100</f>
        <v>24200</v>
      </c>
      <c r="J142" s="29" t="n">
        <f aca="false">ROUND(D142*'⚙️ BEÁLLÍTÁSOK'!B44/100,0)*100</f>
        <v>32500</v>
      </c>
      <c r="K142" s="30"/>
    </row>
    <row r="143" customFormat="false" ht="19.5" hidden="false" customHeight="true" outlineLevel="0" collapsed="false">
      <c r="A143" s="20"/>
      <c r="B143" s="21" t="s">
        <v>257</v>
      </c>
      <c r="C143" s="22" t="s">
        <v>101</v>
      </c>
      <c r="D143" s="23" t="n">
        <v>32000</v>
      </c>
      <c r="E143" s="24" t="n">
        <f aca="false">ROUND(D143*'⚙️ BEÁLLÍTÁSOK'!B39/100,0)*100</f>
        <v>32000</v>
      </c>
      <c r="F143" s="24" t="n">
        <f aca="false">ROUND(D143*'⚙️ BEÁLLÍTÁSOK'!B40/100,0)*100</f>
        <v>36800</v>
      </c>
      <c r="G143" s="24" t="n">
        <f aca="false">ROUND(D143*'⚙️ BEÁLLÍTÁSOK'!B41/100,0)*100</f>
        <v>34600</v>
      </c>
      <c r="H143" s="24" t="n">
        <f aca="false">ROUND(D143*'⚙️ BEÁLLÍTÁSOK'!B42/100,0)*100</f>
        <v>32000</v>
      </c>
      <c r="I143" s="24" t="n">
        <f aca="false">ROUND(D143*'⚙️ BEÁLLÍTÁSOK'!B43/100,0)*100</f>
        <v>29800</v>
      </c>
      <c r="J143" s="24" t="n">
        <f aca="false">ROUND(D143*'⚙️ BEÁLLÍTÁSOK'!B44/100,0)*100</f>
        <v>40000</v>
      </c>
      <c r="K143" s="25"/>
    </row>
    <row r="144" customFormat="false" ht="19.5" hidden="false" customHeight="true" outlineLevel="0" collapsed="false">
      <c r="A144" s="26"/>
      <c r="B144" s="27" t="s">
        <v>258</v>
      </c>
      <c r="C144" s="28" t="s">
        <v>101</v>
      </c>
      <c r="D144" s="23" t="n">
        <v>24000</v>
      </c>
      <c r="E144" s="29" t="n">
        <f aca="false">ROUND(D144*'⚙️ BEÁLLÍTÁSOK'!B39/100,0)*100</f>
        <v>24000</v>
      </c>
      <c r="F144" s="29" t="n">
        <f aca="false">ROUND(D144*'⚙️ BEÁLLÍTÁSOK'!B40/100,0)*100</f>
        <v>27600</v>
      </c>
      <c r="G144" s="29" t="n">
        <f aca="false">ROUND(D144*'⚙️ BEÁLLÍTÁSOK'!B41/100,0)*100</f>
        <v>25900</v>
      </c>
      <c r="H144" s="29" t="n">
        <f aca="false">ROUND(D144*'⚙️ BEÁLLÍTÁSOK'!B42/100,0)*100</f>
        <v>24000</v>
      </c>
      <c r="I144" s="29" t="n">
        <f aca="false">ROUND(D144*'⚙️ BEÁLLÍTÁSOK'!B43/100,0)*100</f>
        <v>22300</v>
      </c>
      <c r="J144" s="29" t="n">
        <f aca="false">ROUND(D144*'⚙️ BEÁLLÍTÁSOK'!B44/100,0)*100</f>
        <v>30000</v>
      </c>
      <c r="K144" s="30"/>
    </row>
    <row r="145" customFormat="false" ht="19.5" hidden="false" customHeight="true" outlineLevel="0" collapsed="false">
      <c r="A145" s="20"/>
      <c r="B145" s="21" t="s">
        <v>259</v>
      </c>
      <c r="C145" s="22" t="s">
        <v>109</v>
      </c>
      <c r="D145" s="23" t="n">
        <v>13000</v>
      </c>
      <c r="E145" s="24" t="n">
        <f aca="false">ROUND(D145*'⚙️ BEÁLLÍTÁSOK'!B39/100,0)*100</f>
        <v>13000</v>
      </c>
      <c r="F145" s="24" t="n">
        <f aca="false">ROUND(D145*'⚙️ BEÁLLÍTÁSOK'!B40/100,0)*100</f>
        <v>14900</v>
      </c>
      <c r="G145" s="24" t="n">
        <f aca="false">ROUND(D145*'⚙️ BEÁLLÍTÁSOK'!B41/100,0)*100</f>
        <v>14000</v>
      </c>
      <c r="H145" s="24" t="n">
        <f aca="false">ROUND(D145*'⚙️ BEÁLLÍTÁSOK'!B42/100,0)*100</f>
        <v>13000</v>
      </c>
      <c r="I145" s="24" t="n">
        <f aca="false">ROUND(D145*'⚙️ BEÁLLÍTÁSOK'!B43/100,0)*100</f>
        <v>12100</v>
      </c>
      <c r="J145" s="24" t="n">
        <f aca="false">ROUND(D145*'⚙️ BEÁLLÍTÁSOK'!B44/100,0)*100</f>
        <v>16300</v>
      </c>
      <c r="K145" s="25" t="s">
        <v>260</v>
      </c>
    </row>
    <row r="146" customFormat="false" ht="19.5" hidden="false" customHeight="true" outlineLevel="0" collapsed="false">
      <c r="A146" s="26"/>
      <c r="B146" s="27" t="s">
        <v>261</v>
      </c>
      <c r="C146" s="28" t="s">
        <v>262</v>
      </c>
      <c r="D146" s="23" t="n">
        <v>650</v>
      </c>
      <c r="E146" s="29" t="n">
        <f aca="false">ROUND(D146*'⚙️ BEÁLLÍTÁSOK'!B39/100,0)*100</f>
        <v>700</v>
      </c>
      <c r="F146" s="29" t="n">
        <f aca="false">ROUND(D146*'⚙️ BEÁLLÍTÁSOK'!B40/100,0)*100</f>
        <v>700</v>
      </c>
      <c r="G146" s="29" t="n">
        <f aca="false">ROUND(D146*'⚙️ BEÁLLÍTÁSOK'!B41/100,0)*100</f>
        <v>700</v>
      </c>
      <c r="H146" s="29" t="n">
        <f aca="false">ROUND(D146*'⚙️ BEÁLLÍTÁSOK'!B42/100,0)*100</f>
        <v>700</v>
      </c>
      <c r="I146" s="29" t="n">
        <f aca="false">ROUND(D146*'⚙️ BEÁLLÍTÁSOK'!B43/100,0)*100</f>
        <v>600</v>
      </c>
      <c r="J146" s="29" t="n">
        <f aca="false">ROUND(D146*'⚙️ BEÁLLÍTÁSOK'!B44/100,0)*100</f>
        <v>800</v>
      </c>
      <c r="K146" s="30" t="s">
        <v>263</v>
      </c>
    </row>
    <row r="147" customFormat="false" ht="18" hidden="false" customHeight="true" outlineLevel="0" collapsed="false">
      <c r="A147" s="33" t="s">
        <v>264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 customFormat="false" ht="12.75" hidden="false" customHeight="true" outlineLevel="0" collapsed="false">
      <c r="A148" s="12" t="s">
        <v>265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customFormat="false" ht="19.5" hidden="false" customHeight="true" outlineLevel="0" collapsed="false">
      <c r="A149" s="20"/>
      <c r="B149" s="21" t="s">
        <v>266</v>
      </c>
      <c r="C149" s="22" t="s">
        <v>92</v>
      </c>
      <c r="D149" s="23" t="n">
        <v>24000</v>
      </c>
      <c r="E149" s="24" t="n">
        <f aca="false">ROUND(D149*'⚙️ BEÁLLÍTÁSOK'!B39/100,0)*100</f>
        <v>24000</v>
      </c>
      <c r="F149" s="24" t="n">
        <f aca="false">ROUND(D149*'⚙️ BEÁLLÍTÁSOK'!B40/100,0)*100</f>
        <v>27600</v>
      </c>
      <c r="G149" s="24" t="n">
        <f aca="false">ROUND(D149*'⚙️ BEÁLLÍTÁSOK'!B41/100,0)*100</f>
        <v>25900</v>
      </c>
      <c r="H149" s="24" t="n">
        <f aca="false">ROUND(D149*'⚙️ BEÁLLÍTÁSOK'!B42/100,0)*100</f>
        <v>24000</v>
      </c>
      <c r="I149" s="24" t="n">
        <f aca="false">ROUND(D149*'⚙️ BEÁLLÍTÁSOK'!B43/100,0)*100</f>
        <v>22300</v>
      </c>
      <c r="J149" s="24" t="n">
        <f aca="false">ROUND(D149*'⚙️ BEÁLLÍTÁSOK'!B44/100,0)*100</f>
        <v>30000</v>
      </c>
      <c r="K149" s="25" t="s">
        <v>267</v>
      </c>
    </row>
    <row r="150" customFormat="false" ht="19.5" hidden="false" customHeight="true" outlineLevel="0" collapsed="false">
      <c r="A150" s="26"/>
      <c r="B150" s="27" t="s">
        <v>268</v>
      </c>
      <c r="C150" s="28" t="s">
        <v>92</v>
      </c>
      <c r="D150" s="23" t="n">
        <v>38000</v>
      </c>
      <c r="E150" s="29" t="n">
        <f aca="false">ROUND(D150*'⚙️ BEÁLLÍTÁSOK'!B39/100,0)*100</f>
        <v>38000</v>
      </c>
      <c r="F150" s="29" t="n">
        <f aca="false">ROUND(D150*'⚙️ BEÁLLÍTÁSOK'!B40/100,0)*100</f>
        <v>43700</v>
      </c>
      <c r="G150" s="29" t="n">
        <f aca="false">ROUND(D150*'⚙️ BEÁLLÍTÁSOK'!B41/100,0)*100</f>
        <v>41000</v>
      </c>
      <c r="H150" s="29" t="n">
        <f aca="false">ROUND(D150*'⚙️ BEÁLLÍTÁSOK'!B42/100,0)*100</f>
        <v>38000</v>
      </c>
      <c r="I150" s="29" t="n">
        <f aca="false">ROUND(D150*'⚙️ BEÁLLÍTÁSOK'!B43/100,0)*100</f>
        <v>35300</v>
      </c>
      <c r="J150" s="29" t="n">
        <f aca="false">ROUND(D150*'⚙️ BEÁLLÍTÁSOK'!B44/100,0)*100</f>
        <v>47500</v>
      </c>
      <c r="K150" s="30"/>
    </row>
    <row r="151" customFormat="false" ht="19.5" hidden="false" customHeight="true" outlineLevel="0" collapsed="false">
      <c r="A151" s="20"/>
      <c r="B151" s="21" t="s">
        <v>269</v>
      </c>
      <c r="C151" s="22" t="s">
        <v>92</v>
      </c>
      <c r="D151" s="23" t="n">
        <v>58000</v>
      </c>
      <c r="E151" s="24" t="n">
        <f aca="false">ROUND(D151*'⚙️ BEÁLLÍTÁSOK'!B39/100,0)*100</f>
        <v>58000</v>
      </c>
      <c r="F151" s="24" t="n">
        <f aca="false">ROUND(D151*'⚙️ BEÁLLÍTÁSOK'!B40/100,0)*100</f>
        <v>66700</v>
      </c>
      <c r="G151" s="24" t="n">
        <f aca="false">ROUND(D151*'⚙️ BEÁLLÍTÁSOK'!B41/100,0)*100</f>
        <v>62600</v>
      </c>
      <c r="H151" s="24" t="n">
        <f aca="false">ROUND(D151*'⚙️ BEÁLLÍTÁSOK'!B42/100,0)*100</f>
        <v>58000</v>
      </c>
      <c r="I151" s="24" t="n">
        <f aca="false">ROUND(D151*'⚙️ BEÁLLÍTÁSOK'!B43/100,0)*100</f>
        <v>53900</v>
      </c>
      <c r="J151" s="24" t="n">
        <f aca="false">ROUND(D151*'⚙️ BEÁLLÍTÁSOK'!B44/100,0)*100</f>
        <v>72500</v>
      </c>
      <c r="K151" s="25"/>
    </row>
    <row r="152" customFormat="false" ht="19.5" hidden="false" customHeight="true" outlineLevel="0" collapsed="false">
      <c r="A152" s="26"/>
      <c r="B152" s="27" t="s">
        <v>270</v>
      </c>
      <c r="C152" s="28" t="s">
        <v>92</v>
      </c>
      <c r="D152" s="34" t="s">
        <v>86</v>
      </c>
      <c r="E152" s="35" t="s">
        <v>87</v>
      </c>
      <c r="F152" s="35" t="s">
        <v>87</v>
      </c>
      <c r="G152" s="35" t="s">
        <v>87</v>
      </c>
      <c r="H152" s="35" t="s">
        <v>87</v>
      </c>
      <c r="I152" s="35" t="s">
        <v>87</v>
      </c>
      <c r="J152" s="35" t="s">
        <v>87</v>
      </c>
      <c r="K152" s="30" t="s">
        <v>88</v>
      </c>
    </row>
    <row r="153" customFormat="false" ht="19.5" hidden="false" customHeight="true" outlineLevel="0" collapsed="false">
      <c r="A153" s="20"/>
      <c r="B153" s="21" t="s">
        <v>271</v>
      </c>
      <c r="C153" s="22" t="s">
        <v>80</v>
      </c>
      <c r="D153" s="23" t="n">
        <v>14000</v>
      </c>
      <c r="E153" s="24" t="n">
        <f aca="false">ROUND(D153*'⚙️ BEÁLLÍTÁSOK'!B39/100,0)*100</f>
        <v>14000</v>
      </c>
      <c r="F153" s="24" t="n">
        <f aca="false">ROUND(D153*'⚙️ BEÁLLÍTÁSOK'!B40/100,0)*100</f>
        <v>16100</v>
      </c>
      <c r="G153" s="24" t="n">
        <f aca="false">ROUND(D153*'⚙️ BEÁLLÍTÁSOK'!B41/100,0)*100</f>
        <v>15100</v>
      </c>
      <c r="H153" s="24" t="n">
        <f aca="false">ROUND(D153*'⚙️ BEÁLLÍTÁSOK'!B42/100,0)*100</f>
        <v>14000</v>
      </c>
      <c r="I153" s="24" t="n">
        <f aca="false">ROUND(D153*'⚙️ BEÁLLÍTÁSOK'!B43/100,0)*100</f>
        <v>13000</v>
      </c>
      <c r="J153" s="24" t="n">
        <f aca="false">ROUND(D153*'⚙️ BEÁLLÍTÁSOK'!B44/100,0)*100</f>
        <v>17500</v>
      </c>
      <c r="K153" s="25" t="s">
        <v>272</v>
      </c>
    </row>
    <row r="154" customFormat="false" ht="18" hidden="false" customHeight="true" outlineLevel="0" collapsed="false">
      <c r="A154" s="33" t="s">
        <v>273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 customFormat="false" ht="19.5" hidden="false" customHeight="true" outlineLevel="0" collapsed="false">
      <c r="A155" s="20"/>
      <c r="B155" s="21" t="s">
        <v>274</v>
      </c>
      <c r="C155" s="22" t="s">
        <v>92</v>
      </c>
      <c r="D155" s="23" t="n">
        <v>16000</v>
      </c>
      <c r="E155" s="24" t="n">
        <f aca="false">ROUND(D155*'⚙️ BEÁLLÍTÁSOK'!B39/100,0)*100</f>
        <v>16000</v>
      </c>
      <c r="F155" s="24" t="n">
        <f aca="false">ROUND(D155*'⚙️ BEÁLLÍTÁSOK'!B40/100,0)*100</f>
        <v>18400</v>
      </c>
      <c r="G155" s="24" t="n">
        <f aca="false">ROUND(D155*'⚙️ BEÁLLÍTÁSOK'!B41/100,0)*100</f>
        <v>17300</v>
      </c>
      <c r="H155" s="24" t="n">
        <f aca="false">ROUND(D155*'⚙️ BEÁLLÍTÁSOK'!B42/100,0)*100</f>
        <v>16000</v>
      </c>
      <c r="I155" s="24" t="n">
        <f aca="false">ROUND(D155*'⚙️ BEÁLLÍTÁSOK'!B43/100,0)*100</f>
        <v>14900</v>
      </c>
      <c r="J155" s="24" t="n">
        <f aca="false">ROUND(D155*'⚙️ BEÁLLÍTÁSOK'!B44/100,0)*100</f>
        <v>20000</v>
      </c>
      <c r="K155" s="25"/>
    </row>
    <row r="156" customFormat="false" ht="19.5" hidden="false" customHeight="true" outlineLevel="0" collapsed="false">
      <c r="A156" s="26"/>
      <c r="B156" s="27" t="s">
        <v>275</v>
      </c>
      <c r="C156" s="28" t="s">
        <v>101</v>
      </c>
      <c r="D156" s="23" t="n">
        <v>7500</v>
      </c>
      <c r="E156" s="29" t="n">
        <f aca="false">ROUND(D156*'⚙️ BEÁLLÍTÁSOK'!B39/100,0)*100</f>
        <v>7500</v>
      </c>
      <c r="F156" s="29" t="n">
        <f aca="false">ROUND(D156*'⚙️ BEÁLLÍTÁSOK'!B40/100,0)*100</f>
        <v>8600</v>
      </c>
      <c r="G156" s="29" t="n">
        <f aca="false">ROUND(D156*'⚙️ BEÁLLÍTÁSOK'!B41/100,0)*100</f>
        <v>8100</v>
      </c>
      <c r="H156" s="29" t="n">
        <f aca="false">ROUND(D156*'⚙️ BEÁLLÍTÁSOK'!B42/100,0)*100</f>
        <v>7500</v>
      </c>
      <c r="I156" s="29" t="n">
        <f aca="false">ROUND(D156*'⚙️ BEÁLLÍTÁSOK'!B43/100,0)*100</f>
        <v>7000</v>
      </c>
      <c r="J156" s="29" t="n">
        <f aca="false">ROUND(D156*'⚙️ BEÁLLÍTÁSOK'!B44/100,0)*100</f>
        <v>9400</v>
      </c>
      <c r="K156" s="30" t="s">
        <v>276</v>
      </c>
    </row>
    <row r="157" customFormat="false" ht="19.5" hidden="false" customHeight="true" outlineLevel="0" collapsed="false">
      <c r="A157" s="20"/>
      <c r="B157" s="21" t="s">
        <v>277</v>
      </c>
      <c r="C157" s="22" t="s">
        <v>101</v>
      </c>
      <c r="D157" s="23" t="n">
        <v>5500</v>
      </c>
      <c r="E157" s="24" t="n">
        <f aca="false">ROUND(D157*'⚙️ BEÁLLÍTÁSOK'!B39/100,0)*100</f>
        <v>5500</v>
      </c>
      <c r="F157" s="24" t="n">
        <f aca="false">ROUND(D157*'⚙️ BEÁLLÍTÁSOK'!B40/100,0)*100</f>
        <v>6300</v>
      </c>
      <c r="G157" s="24" t="n">
        <f aca="false">ROUND(D157*'⚙️ BEÁLLÍTÁSOK'!B41/100,0)*100</f>
        <v>5900</v>
      </c>
      <c r="H157" s="24" t="n">
        <f aca="false">ROUND(D157*'⚙️ BEÁLLÍTÁSOK'!B42/100,0)*100</f>
        <v>5500</v>
      </c>
      <c r="I157" s="24" t="n">
        <f aca="false">ROUND(D157*'⚙️ BEÁLLÍTÁSOK'!B43/100,0)*100</f>
        <v>5100</v>
      </c>
      <c r="J157" s="24" t="n">
        <f aca="false">ROUND(D157*'⚙️ BEÁLLÍTÁSOK'!B44/100,0)*100</f>
        <v>6900</v>
      </c>
      <c r="K157" s="25"/>
    </row>
    <row r="158" customFormat="false" ht="19.5" hidden="false" customHeight="true" outlineLevel="0" collapsed="false">
      <c r="A158" s="26"/>
      <c r="B158" s="27" t="s">
        <v>278</v>
      </c>
      <c r="C158" s="28" t="s">
        <v>101</v>
      </c>
      <c r="D158" s="23" t="n">
        <v>9000</v>
      </c>
      <c r="E158" s="29" t="n">
        <f aca="false">ROUND(D158*'⚙️ BEÁLLÍTÁSOK'!B39/100,0)*100</f>
        <v>9000</v>
      </c>
      <c r="F158" s="29" t="n">
        <f aca="false">ROUND(D158*'⚙️ BEÁLLÍTÁSOK'!B40/100,0)*100</f>
        <v>10400</v>
      </c>
      <c r="G158" s="29" t="n">
        <f aca="false">ROUND(D158*'⚙️ BEÁLLÍTÁSOK'!B41/100,0)*100</f>
        <v>9700</v>
      </c>
      <c r="H158" s="29" t="n">
        <f aca="false">ROUND(D158*'⚙️ BEÁLLÍTÁSOK'!B42/100,0)*100</f>
        <v>9000</v>
      </c>
      <c r="I158" s="29" t="n">
        <f aca="false">ROUND(D158*'⚙️ BEÁLLÍTÁSOK'!B43/100,0)*100</f>
        <v>8400</v>
      </c>
      <c r="J158" s="29" t="n">
        <f aca="false">ROUND(D158*'⚙️ BEÁLLÍTÁSOK'!B44/100,0)*100</f>
        <v>11300</v>
      </c>
      <c r="K158" s="30"/>
    </row>
    <row r="159" customFormat="false" ht="19.5" hidden="false" customHeight="true" outlineLevel="0" collapsed="false">
      <c r="A159" s="20"/>
      <c r="B159" s="21" t="s">
        <v>279</v>
      </c>
      <c r="C159" s="22" t="s">
        <v>101</v>
      </c>
      <c r="D159" s="23" t="n">
        <v>27000</v>
      </c>
      <c r="E159" s="24" t="n">
        <f aca="false">ROUND(D159*'⚙️ BEÁLLÍTÁSOK'!B39/100,0)*100</f>
        <v>27000</v>
      </c>
      <c r="F159" s="24" t="n">
        <f aca="false">ROUND(D159*'⚙️ BEÁLLÍTÁSOK'!B40/100,0)*100</f>
        <v>31000</v>
      </c>
      <c r="G159" s="24" t="n">
        <f aca="false">ROUND(D159*'⚙️ BEÁLLÍTÁSOK'!B41/100,0)*100</f>
        <v>29200</v>
      </c>
      <c r="H159" s="24" t="n">
        <f aca="false">ROUND(D159*'⚙️ BEÁLLÍTÁSOK'!B42/100,0)*100</f>
        <v>27000</v>
      </c>
      <c r="I159" s="24" t="n">
        <f aca="false">ROUND(D159*'⚙️ BEÁLLÍTÁSOK'!B43/100,0)*100</f>
        <v>25100</v>
      </c>
      <c r="J159" s="24" t="n">
        <f aca="false">ROUND(D159*'⚙️ BEÁLLÍTÁSOK'!B44/100,0)*100</f>
        <v>33800</v>
      </c>
      <c r="K159" s="25" t="s">
        <v>280</v>
      </c>
    </row>
    <row r="160" customFormat="false" ht="19.5" hidden="false" customHeight="true" outlineLevel="0" collapsed="false">
      <c r="A160" s="26"/>
      <c r="B160" s="27" t="s">
        <v>281</v>
      </c>
      <c r="C160" s="28" t="s">
        <v>101</v>
      </c>
      <c r="D160" s="23" t="n">
        <v>11000</v>
      </c>
      <c r="E160" s="29" t="n">
        <f aca="false">ROUND(D160*'⚙️ BEÁLLÍTÁSOK'!B39/100,0)*100</f>
        <v>11000</v>
      </c>
      <c r="F160" s="29" t="n">
        <f aca="false">ROUND(D160*'⚙️ BEÁLLÍTÁSOK'!B40/100,0)*100</f>
        <v>12600</v>
      </c>
      <c r="G160" s="29" t="n">
        <f aca="false">ROUND(D160*'⚙️ BEÁLLÍTÁSOK'!B41/100,0)*100</f>
        <v>11900</v>
      </c>
      <c r="H160" s="29" t="n">
        <f aca="false">ROUND(D160*'⚙️ BEÁLLÍTÁSOK'!B42/100,0)*100</f>
        <v>11000</v>
      </c>
      <c r="I160" s="29" t="n">
        <f aca="false">ROUND(D160*'⚙️ BEÁLLÍTÁSOK'!B43/100,0)*100</f>
        <v>10200</v>
      </c>
      <c r="J160" s="29" t="n">
        <f aca="false">ROUND(D160*'⚙️ BEÁLLÍTÁSOK'!B44/100,0)*100</f>
        <v>13800</v>
      </c>
      <c r="K160" s="30"/>
    </row>
    <row r="161" customFormat="false" ht="19.5" hidden="false" customHeight="true" outlineLevel="0" collapsed="false">
      <c r="A161" s="20"/>
      <c r="B161" s="21" t="s">
        <v>282</v>
      </c>
      <c r="C161" s="22" t="s">
        <v>109</v>
      </c>
      <c r="D161" s="23" t="n">
        <v>17000</v>
      </c>
      <c r="E161" s="24" t="n">
        <f aca="false">ROUND(D161*'⚙️ BEÁLLÍTÁSOK'!B39/100,0)*100</f>
        <v>17000</v>
      </c>
      <c r="F161" s="24" t="n">
        <f aca="false">ROUND(D161*'⚙️ BEÁLLÍTÁSOK'!B40/100,0)*100</f>
        <v>19600</v>
      </c>
      <c r="G161" s="24" t="n">
        <f aca="false">ROUND(D161*'⚙️ BEÁLLÍTÁSOK'!B41/100,0)*100</f>
        <v>18400</v>
      </c>
      <c r="H161" s="24" t="n">
        <f aca="false">ROUND(D161*'⚙️ BEÁLLÍTÁSOK'!B42/100,0)*100</f>
        <v>17000</v>
      </c>
      <c r="I161" s="24" t="n">
        <f aca="false">ROUND(D161*'⚙️ BEÁLLÍTÁSOK'!B43/100,0)*100</f>
        <v>15800</v>
      </c>
      <c r="J161" s="24" t="n">
        <f aca="false">ROUND(D161*'⚙️ BEÁLLÍTÁSOK'!B44/100,0)*100</f>
        <v>21300</v>
      </c>
      <c r="K161" s="25"/>
    </row>
    <row r="162" customFormat="false" ht="18" hidden="false" customHeight="true" outlineLevel="0" collapsed="false">
      <c r="A162" s="33" t="s">
        <v>283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 customFormat="false" ht="12.75" hidden="false" customHeight="true" outlineLevel="0" collapsed="false">
      <c r="A163" s="12" t="s">
        <v>284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customFormat="false" ht="19.5" hidden="false" customHeight="true" outlineLevel="0" collapsed="false">
      <c r="A164" s="20"/>
      <c r="B164" s="21" t="s">
        <v>285</v>
      </c>
      <c r="C164" s="22" t="s">
        <v>92</v>
      </c>
      <c r="D164" s="23" t="n">
        <v>28000</v>
      </c>
      <c r="E164" s="24" t="n">
        <f aca="false">ROUND(D164*'⚙️ BEÁLLÍTÁSOK'!B39/100,0)*100</f>
        <v>28000</v>
      </c>
      <c r="F164" s="24" t="n">
        <f aca="false">ROUND(D164*'⚙️ BEÁLLÍTÁSOK'!B40/100,0)*100</f>
        <v>32200</v>
      </c>
      <c r="G164" s="24" t="n">
        <f aca="false">ROUND(D164*'⚙️ BEÁLLÍTÁSOK'!B41/100,0)*100</f>
        <v>30200</v>
      </c>
      <c r="H164" s="24" t="n">
        <f aca="false">ROUND(D164*'⚙️ BEÁLLÍTÁSOK'!B42/100,0)*100</f>
        <v>28000</v>
      </c>
      <c r="I164" s="24" t="n">
        <f aca="false">ROUND(D164*'⚙️ BEÁLLÍTÁSOK'!B43/100,0)*100</f>
        <v>26000</v>
      </c>
      <c r="J164" s="24" t="n">
        <f aca="false">ROUND(D164*'⚙️ BEÁLLÍTÁSOK'!B44/100,0)*100</f>
        <v>35000</v>
      </c>
      <c r="K164" s="25" t="s">
        <v>286</v>
      </c>
    </row>
    <row r="165" customFormat="false" ht="19.5" hidden="false" customHeight="true" outlineLevel="0" collapsed="false">
      <c r="A165" s="26"/>
      <c r="B165" s="27" t="s">
        <v>287</v>
      </c>
      <c r="C165" s="28" t="s">
        <v>92</v>
      </c>
      <c r="D165" s="23" t="n">
        <v>44000</v>
      </c>
      <c r="E165" s="29" t="n">
        <f aca="false">ROUND(D165*'⚙️ BEÁLLÍTÁSOK'!B39/100,0)*100</f>
        <v>44000</v>
      </c>
      <c r="F165" s="29" t="n">
        <f aca="false">ROUND(D165*'⚙️ BEÁLLÍTÁSOK'!B40/100,0)*100</f>
        <v>50600</v>
      </c>
      <c r="G165" s="29" t="n">
        <f aca="false">ROUND(D165*'⚙️ BEÁLLÍTÁSOK'!B41/100,0)*100</f>
        <v>47500</v>
      </c>
      <c r="H165" s="29" t="n">
        <f aca="false">ROUND(D165*'⚙️ BEÁLLÍTÁSOK'!B42/100,0)*100</f>
        <v>44000</v>
      </c>
      <c r="I165" s="29" t="n">
        <f aca="false">ROUND(D165*'⚙️ BEÁLLÍTÁSOK'!B43/100,0)*100</f>
        <v>40900</v>
      </c>
      <c r="J165" s="29" t="n">
        <f aca="false">ROUND(D165*'⚙️ BEÁLLÍTÁSOK'!B44/100,0)*100</f>
        <v>55000</v>
      </c>
      <c r="K165" s="30"/>
    </row>
    <row r="166" customFormat="false" ht="19.5" hidden="false" customHeight="true" outlineLevel="0" collapsed="false">
      <c r="A166" s="20"/>
      <c r="B166" s="21" t="s">
        <v>288</v>
      </c>
      <c r="C166" s="22" t="s">
        <v>92</v>
      </c>
      <c r="D166" s="23" t="n">
        <v>62000</v>
      </c>
      <c r="E166" s="24" t="n">
        <f aca="false">ROUND(D166*'⚙️ BEÁLLÍTÁSOK'!B39/100,0)*100</f>
        <v>62000</v>
      </c>
      <c r="F166" s="24" t="n">
        <f aca="false">ROUND(D166*'⚙️ BEÁLLÍTÁSOK'!B40/100,0)*100</f>
        <v>71300</v>
      </c>
      <c r="G166" s="24" t="n">
        <f aca="false">ROUND(D166*'⚙️ BEÁLLÍTÁSOK'!B41/100,0)*100</f>
        <v>67000</v>
      </c>
      <c r="H166" s="24" t="n">
        <f aca="false">ROUND(D166*'⚙️ BEÁLLÍTÁSOK'!B42/100,0)*100</f>
        <v>62000</v>
      </c>
      <c r="I166" s="24" t="n">
        <f aca="false">ROUND(D166*'⚙️ BEÁLLÍTÁSOK'!B43/100,0)*100</f>
        <v>57700</v>
      </c>
      <c r="J166" s="24" t="n">
        <f aca="false">ROUND(D166*'⚙️ BEÁLLÍTÁSOK'!B44/100,0)*100</f>
        <v>77500</v>
      </c>
      <c r="K166" s="25"/>
    </row>
    <row r="167" customFormat="false" ht="19.5" hidden="false" customHeight="true" outlineLevel="0" collapsed="false">
      <c r="A167" s="26"/>
      <c r="B167" s="27" t="s">
        <v>289</v>
      </c>
      <c r="C167" s="28" t="s">
        <v>92</v>
      </c>
      <c r="D167" s="34" t="s">
        <v>86</v>
      </c>
      <c r="E167" s="35" t="s">
        <v>87</v>
      </c>
      <c r="F167" s="35" t="s">
        <v>87</v>
      </c>
      <c r="G167" s="35" t="s">
        <v>87</v>
      </c>
      <c r="H167" s="35" t="s">
        <v>87</v>
      </c>
      <c r="I167" s="35" t="s">
        <v>87</v>
      </c>
      <c r="J167" s="35" t="s">
        <v>87</v>
      </c>
      <c r="K167" s="30" t="s">
        <v>88</v>
      </c>
    </row>
    <row r="168" customFormat="false" ht="19.5" hidden="false" customHeight="true" outlineLevel="0" collapsed="false">
      <c r="A168" s="20"/>
      <c r="B168" s="21" t="s">
        <v>290</v>
      </c>
      <c r="C168" s="22" t="s">
        <v>80</v>
      </c>
      <c r="D168" s="23" t="n">
        <v>11000</v>
      </c>
      <c r="E168" s="24" t="n">
        <f aca="false">ROUND(D168*'⚙️ BEÁLLÍTÁSOK'!B39/100,0)*100</f>
        <v>11000</v>
      </c>
      <c r="F168" s="24" t="n">
        <f aca="false">ROUND(D168*'⚙️ BEÁLLÍTÁSOK'!B40/100,0)*100</f>
        <v>12600</v>
      </c>
      <c r="G168" s="24" t="n">
        <f aca="false">ROUND(D168*'⚙️ BEÁLLÍTÁSOK'!B41/100,0)*100</f>
        <v>11900</v>
      </c>
      <c r="H168" s="24" t="n">
        <f aca="false">ROUND(D168*'⚙️ BEÁLLÍTÁSOK'!B42/100,0)*100</f>
        <v>11000</v>
      </c>
      <c r="I168" s="24" t="n">
        <f aca="false">ROUND(D168*'⚙️ BEÁLLÍTÁSOK'!B43/100,0)*100</f>
        <v>10200</v>
      </c>
      <c r="J168" s="24" t="n">
        <f aca="false">ROUND(D168*'⚙️ BEÁLLÍTÁSOK'!B44/100,0)*100</f>
        <v>13800</v>
      </c>
      <c r="K168" s="25" t="s">
        <v>291</v>
      </c>
    </row>
    <row r="169" customFormat="false" ht="18" hidden="false" customHeight="true" outlineLevel="0" collapsed="false">
      <c r="A169" s="33" t="s">
        <v>292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 customFormat="false" ht="19.5" hidden="false" customHeight="true" outlineLevel="0" collapsed="false">
      <c r="A170" s="20"/>
      <c r="B170" s="21" t="s">
        <v>293</v>
      </c>
      <c r="C170" s="22" t="s">
        <v>92</v>
      </c>
      <c r="D170" s="23" t="n">
        <v>19000</v>
      </c>
      <c r="E170" s="24" t="n">
        <f aca="false">ROUND(D170*'⚙️ BEÁLLÍTÁSOK'!B39/100,0)*100</f>
        <v>19000</v>
      </c>
      <c r="F170" s="24" t="n">
        <f aca="false">ROUND(D170*'⚙️ BEÁLLÍTÁSOK'!B40/100,0)*100</f>
        <v>21900</v>
      </c>
      <c r="G170" s="24" t="n">
        <f aca="false">ROUND(D170*'⚙️ BEÁLLÍTÁSOK'!B41/100,0)*100</f>
        <v>20500</v>
      </c>
      <c r="H170" s="24" t="n">
        <f aca="false">ROUND(D170*'⚙️ BEÁLLÍTÁSOK'!B42/100,0)*100</f>
        <v>19000</v>
      </c>
      <c r="I170" s="24" t="n">
        <f aca="false">ROUND(D170*'⚙️ BEÁLLÍTÁSOK'!B43/100,0)*100</f>
        <v>17700</v>
      </c>
      <c r="J170" s="24" t="n">
        <f aca="false">ROUND(D170*'⚙️ BEÁLLÍTÁSOK'!B44/100,0)*100</f>
        <v>23800</v>
      </c>
      <c r="K170" s="25"/>
    </row>
    <row r="171" customFormat="false" ht="19.5" hidden="false" customHeight="true" outlineLevel="0" collapsed="false">
      <c r="A171" s="26"/>
      <c r="B171" s="27" t="s">
        <v>294</v>
      </c>
      <c r="C171" s="28" t="s">
        <v>101</v>
      </c>
      <c r="D171" s="23" t="n">
        <v>26000</v>
      </c>
      <c r="E171" s="29" t="n">
        <f aca="false">ROUND(D171*'⚙️ BEÁLLÍTÁSOK'!B39/100,0)*100</f>
        <v>26000</v>
      </c>
      <c r="F171" s="29" t="n">
        <f aca="false">ROUND(D171*'⚙️ BEÁLLÍTÁSOK'!B40/100,0)*100</f>
        <v>29900</v>
      </c>
      <c r="G171" s="29" t="n">
        <f aca="false">ROUND(D171*'⚙️ BEÁLLÍTÁSOK'!B41/100,0)*100</f>
        <v>28100</v>
      </c>
      <c r="H171" s="29" t="n">
        <f aca="false">ROUND(D171*'⚙️ BEÁLLÍTÁSOK'!B42/100,0)*100</f>
        <v>26000</v>
      </c>
      <c r="I171" s="29" t="n">
        <f aca="false">ROUND(D171*'⚙️ BEÁLLÍTÁSOK'!B43/100,0)*100</f>
        <v>24200</v>
      </c>
      <c r="J171" s="29" t="n">
        <f aca="false">ROUND(D171*'⚙️ BEÁLLÍTÁSOK'!B44/100,0)*100</f>
        <v>32500</v>
      </c>
      <c r="K171" s="30" t="s">
        <v>295</v>
      </c>
    </row>
    <row r="172" customFormat="false" ht="19.5" hidden="false" customHeight="true" outlineLevel="0" collapsed="false">
      <c r="A172" s="20"/>
      <c r="B172" s="21" t="s">
        <v>296</v>
      </c>
      <c r="C172" s="22" t="s">
        <v>101</v>
      </c>
      <c r="D172" s="23" t="n">
        <v>36000</v>
      </c>
      <c r="E172" s="24" t="n">
        <f aca="false">ROUND(D172*'⚙️ BEÁLLÍTÁSOK'!B39/100,0)*100</f>
        <v>36000</v>
      </c>
      <c r="F172" s="24" t="n">
        <f aca="false">ROUND(D172*'⚙️ BEÁLLÍTÁSOK'!B40/100,0)*100</f>
        <v>41400</v>
      </c>
      <c r="G172" s="24" t="n">
        <f aca="false">ROUND(D172*'⚙️ BEÁLLÍTÁSOK'!B41/100,0)*100</f>
        <v>38900</v>
      </c>
      <c r="H172" s="24" t="n">
        <f aca="false">ROUND(D172*'⚙️ BEÁLLÍTÁSOK'!B42/100,0)*100</f>
        <v>36000</v>
      </c>
      <c r="I172" s="24" t="n">
        <f aca="false">ROUND(D172*'⚙️ BEÁLLÍTÁSOK'!B43/100,0)*100</f>
        <v>33500</v>
      </c>
      <c r="J172" s="24" t="n">
        <f aca="false">ROUND(D172*'⚙️ BEÁLLÍTÁSOK'!B44/100,0)*100</f>
        <v>45000</v>
      </c>
      <c r="K172" s="25"/>
    </row>
    <row r="173" customFormat="false" ht="19.5" hidden="false" customHeight="true" outlineLevel="0" collapsed="false">
      <c r="A173" s="26"/>
      <c r="B173" s="27" t="s">
        <v>297</v>
      </c>
      <c r="C173" s="28" t="s">
        <v>120</v>
      </c>
      <c r="D173" s="23" t="n">
        <v>32000</v>
      </c>
      <c r="E173" s="29" t="n">
        <f aca="false">ROUND(D173*'⚙️ BEÁLLÍTÁSOK'!B39/100,0)*100</f>
        <v>32000</v>
      </c>
      <c r="F173" s="29" t="n">
        <f aca="false">ROUND(D173*'⚙️ BEÁLLÍTÁSOK'!B40/100,0)*100</f>
        <v>36800</v>
      </c>
      <c r="G173" s="29" t="n">
        <f aca="false">ROUND(D173*'⚙️ BEÁLLÍTÁSOK'!B41/100,0)*100</f>
        <v>34600</v>
      </c>
      <c r="H173" s="29" t="n">
        <f aca="false">ROUND(D173*'⚙️ BEÁLLÍTÁSOK'!B42/100,0)*100</f>
        <v>32000</v>
      </c>
      <c r="I173" s="29" t="n">
        <f aca="false">ROUND(D173*'⚙️ BEÁLLÍTÁSOK'!B43/100,0)*100</f>
        <v>29800</v>
      </c>
      <c r="J173" s="29" t="n">
        <f aca="false">ROUND(D173*'⚙️ BEÁLLÍTÁSOK'!B44/100,0)*100</f>
        <v>40000</v>
      </c>
      <c r="K173" s="30"/>
    </row>
    <row r="174" customFormat="false" ht="21.75" hidden="false" customHeight="true" outlineLevel="0" collapsed="false">
      <c r="A174" s="19" t="s">
        <v>298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 customFormat="false" ht="12.75" hidden="false" customHeight="true" outlineLevel="0" collapsed="false">
      <c r="A175" s="12" t="s">
        <v>299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customFormat="false" ht="18" hidden="false" customHeight="true" outlineLevel="0" collapsed="false">
      <c r="A176" s="33" t="s">
        <v>300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 customFormat="false" ht="19.5" hidden="false" customHeight="true" outlineLevel="0" collapsed="false">
      <c r="A177" s="20"/>
      <c r="B177" s="21" t="s">
        <v>301</v>
      </c>
      <c r="C177" s="22" t="s">
        <v>109</v>
      </c>
      <c r="D177" s="23" t="n">
        <v>68000</v>
      </c>
      <c r="E177" s="24" t="n">
        <f aca="false">ROUND(D177*'⚙️ BEÁLLÍTÁSOK'!B39/100,0)*100</f>
        <v>68000</v>
      </c>
      <c r="F177" s="24" t="n">
        <f aca="false">ROUND(D177*'⚙️ BEÁLLÍTÁSOK'!B40/100,0)*100</f>
        <v>78200</v>
      </c>
      <c r="G177" s="24" t="n">
        <f aca="false">ROUND(D177*'⚙️ BEÁLLÍTÁSOK'!B41/100,0)*100</f>
        <v>73400</v>
      </c>
      <c r="H177" s="24" t="n">
        <f aca="false">ROUND(D177*'⚙️ BEÁLLÍTÁSOK'!B42/100,0)*100</f>
        <v>68000</v>
      </c>
      <c r="I177" s="24" t="n">
        <f aca="false">ROUND(D177*'⚙️ BEÁLLÍTÁSOK'!B43/100,0)*100</f>
        <v>63200</v>
      </c>
      <c r="J177" s="24" t="n">
        <f aca="false">ROUND(D177*'⚙️ BEÁLLÍTÁSOK'!B44/100,0)*100</f>
        <v>85000</v>
      </c>
      <c r="K177" s="25" t="s">
        <v>302</v>
      </c>
    </row>
    <row r="178" customFormat="false" ht="19.5" hidden="false" customHeight="true" outlineLevel="0" collapsed="false">
      <c r="A178" s="26"/>
      <c r="B178" s="27" t="s">
        <v>303</v>
      </c>
      <c r="C178" s="28" t="s">
        <v>101</v>
      </c>
      <c r="D178" s="23" t="n">
        <v>58000</v>
      </c>
      <c r="E178" s="29" t="n">
        <f aca="false">ROUND(D178*'⚙️ BEÁLLÍTÁSOK'!B39/100,0)*100</f>
        <v>58000</v>
      </c>
      <c r="F178" s="29" t="n">
        <f aca="false">ROUND(D178*'⚙️ BEÁLLÍTÁSOK'!B40/100,0)*100</f>
        <v>66700</v>
      </c>
      <c r="G178" s="29" t="n">
        <f aca="false">ROUND(D178*'⚙️ BEÁLLÍTÁSOK'!B41/100,0)*100</f>
        <v>62600</v>
      </c>
      <c r="H178" s="29" t="n">
        <f aca="false">ROUND(D178*'⚙️ BEÁLLÍTÁSOK'!B42/100,0)*100</f>
        <v>58000</v>
      </c>
      <c r="I178" s="29" t="n">
        <f aca="false">ROUND(D178*'⚙️ BEÁLLÍTÁSOK'!B43/100,0)*100</f>
        <v>53900</v>
      </c>
      <c r="J178" s="29" t="n">
        <f aca="false">ROUND(D178*'⚙️ BEÁLLÍTÁSOK'!B44/100,0)*100</f>
        <v>72500</v>
      </c>
      <c r="K178" s="30" t="s">
        <v>304</v>
      </c>
    </row>
    <row r="179" customFormat="false" ht="19.5" hidden="false" customHeight="true" outlineLevel="0" collapsed="false">
      <c r="A179" s="20"/>
      <c r="B179" s="21" t="s">
        <v>305</v>
      </c>
      <c r="C179" s="22" t="s">
        <v>101</v>
      </c>
      <c r="D179" s="23" t="n">
        <v>11000</v>
      </c>
      <c r="E179" s="24" t="n">
        <f aca="false">ROUND(D179*'⚙️ BEÁLLÍTÁSOK'!B39/100,0)*100</f>
        <v>11000</v>
      </c>
      <c r="F179" s="24" t="n">
        <f aca="false">ROUND(D179*'⚙️ BEÁLLÍTÁSOK'!B40/100,0)*100</f>
        <v>12600</v>
      </c>
      <c r="G179" s="24" t="n">
        <f aca="false">ROUND(D179*'⚙️ BEÁLLÍTÁSOK'!B41/100,0)*100</f>
        <v>11900</v>
      </c>
      <c r="H179" s="24" t="n">
        <f aca="false">ROUND(D179*'⚙️ BEÁLLÍTÁSOK'!B42/100,0)*100</f>
        <v>11000</v>
      </c>
      <c r="I179" s="24" t="n">
        <f aca="false">ROUND(D179*'⚙️ BEÁLLÍTÁSOK'!B43/100,0)*100</f>
        <v>10200</v>
      </c>
      <c r="J179" s="24" t="n">
        <f aca="false">ROUND(D179*'⚙️ BEÁLLÍTÁSOK'!B44/100,0)*100</f>
        <v>13800</v>
      </c>
      <c r="K179" s="25" t="s">
        <v>306</v>
      </c>
    </row>
    <row r="180" customFormat="false" ht="19.5" hidden="false" customHeight="true" outlineLevel="0" collapsed="false">
      <c r="A180" s="26"/>
      <c r="B180" s="27" t="s">
        <v>307</v>
      </c>
      <c r="C180" s="28" t="s">
        <v>101</v>
      </c>
      <c r="D180" s="23" t="n">
        <v>11000</v>
      </c>
      <c r="E180" s="29" t="n">
        <f aca="false">ROUND(D180*'⚙️ BEÁLLÍTÁSOK'!B39/100,0)*100</f>
        <v>11000</v>
      </c>
      <c r="F180" s="29" t="n">
        <f aca="false">ROUND(D180*'⚙️ BEÁLLÍTÁSOK'!B40/100,0)*100</f>
        <v>12600</v>
      </c>
      <c r="G180" s="29" t="n">
        <f aca="false">ROUND(D180*'⚙️ BEÁLLÍTÁSOK'!B41/100,0)*100</f>
        <v>11900</v>
      </c>
      <c r="H180" s="29" t="n">
        <f aca="false">ROUND(D180*'⚙️ BEÁLLÍTÁSOK'!B42/100,0)*100</f>
        <v>11000</v>
      </c>
      <c r="I180" s="29" t="n">
        <f aca="false">ROUND(D180*'⚙️ BEÁLLÍTÁSOK'!B43/100,0)*100</f>
        <v>10200</v>
      </c>
      <c r="J180" s="29" t="n">
        <f aca="false">ROUND(D180*'⚙️ BEÁLLÍTÁSOK'!B44/100,0)*100</f>
        <v>13800</v>
      </c>
      <c r="K180" s="30" t="s">
        <v>308</v>
      </c>
    </row>
    <row r="181" customFormat="false" ht="19.5" hidden="false" customHeight="true" outlineLevel="0" collapsed="false">
      <c r="A181" s="20"/>
      <c r="B181" s="21" t="s">
        <v>309</v>
      </c>
      <c r="C181" s="22" t="s">
        <v>101</v>
      </c>
      <c r="D181" s="23" t="n">
        <v>12000</v>
      </c>
      <c r="E181" s="24" t="n">
        <f aca="false">ROUND(D181*'⚙️ BEÁLLÍTÁSOK'!B39/100,0)*100</f>
        <v>12000</v>
      </c>
      <c r="F181" s="24" t="n">
        <f aca="false">ROUND(D181*'⚙️ BEÁLLÍTÁSOK'!B40/100,0)*100</f>
        <v>13800</v>
      </c>
      <c r="G181" s="24" t="n">
        <f aca="false">ROUND(D181*'⚙️ BEÁLLÍTÁSOK'!B41/100,0)*100</f>
        <v>13000</v>
      </c>
      <c r="H181" s="24" t="n">
        <f aca="false">ROUND(D181*'⚙️ BEÁLLÍTÁSOK'!B42/100,0)*100</f>
        <v>12000</v>
      </c>
      <c r="I181" s="24" t="n">
        <f aca="false">ROUND(D181*'⚙️ BEÁLLÍTÁSOK'!B43/100,0)*100</f>
        <v>11200</v>
      </c>
      <c r="J181" s="24" t="n">
        <f aca="false">ROUND(D181*'⚙️ BEÁLLÍTÁSOK'!B44/100,0)*100</f>
        <v>15000</v>
      </c>
      <c r="K181" s="25"/>
    </row>
    <row r="182" customFormat="false" ht="19.5" hidden="false" customHeight="true" outlineLevel="0" collapsed="false">
      <c r="A182" s="26"/>
      <c r="B182" s="27" t="s">
        <v>310</v>
      </c>
      <c r="C182" s="28" t="s">
        <v>101</v>
      </c>
      <c r="D182" s="23" t="n">
        <v>9500</v>
      </c>
      <c r="E182" s="29" t="n">
        <f aca="false">ROUND(D182*'⚙️ BEÁLLÍTÁSOK'!B39/100,0)*100</f>
        <v>9500</v>
      </c>
      <c r="F182" s="29" t="n">
        <f aca="false">ROUND(D182*'⚙️ BEÁLLÍTÁSOK'!B40/100,0)*100</f>
        <v>10900</v>
      </c>
      <c r="G182" s="29" t="n">
        <f aca="false">ROUND(D182*'⚙️ BEÁLLÍTÁSOK'!B41/100,0)*100</f>
        <v>10300</v>
      </c>
      <c r="H182" s="29" t="n">
        <f aca="false">ROUND(D182*'⚙️ BEÁLLÍTÁSOK'!B42/100,0)*100</f>
        <v>9500</v>
      </c>
      <c r="I182" s="29" t="n">
        <f aca="false">ROUND(D182*'⚙️ BEÁLLÍTÁSOK'!B43/100,0)*100</f>
        <v>8800</v>
      </c>
      <c r="J182" s="29" t="n">
        <f aca="false">ROUND(D182*'⚙️ BEÁLLÍTÁSOK'!B44/100,0)*100</f>
        <v>11900</v>
      </c>
      <c r="K182" s="30"/>
    </row>
    <row r="183" customFormat="false" ht="19.5" hidden="false" customHeight="true" outlineLevel="0" collapsed="false">
      <c r="A183" s="20"/>
      <c r="B183" s="21" t="s">
        <v>311</v>
      </c>
      <c r="C183" s="22" t="s">
        <v>101</v>
      </c>
      <c r="D183" s="23" t="n">
        <v>10000</v>
      </c>
      <c r="E183" s="24" t="n">
        <f aca="false">ROUND(D183*'⚙️ BEÁLLÍTÁSOK'!B39/100,0)*100</f>
        <v>10000</v>
      </c>
      <c r="F183" s="24" t="n">
        <f aca="false">ROUND(D183*'⚙️ BEÁLLÍTÁSOK'!B40/100,0)*100</f>
        <v>11500</v>
      </c>
      <c r="G183" s="24" t="n">
        <f aca="false">ROUND(D183*'⚙️ BEÁLLÍTÁSOK'!B41/100,0)*100</f>
        <v>10800</v>
      </c>
      <c r="H183" s="24" t="n">
        <f aca="false">ROUND(D183*'⚙️ BEÁLLÍTÁSOK'!B42/100,0)*100</f>
        <v>10000</v>
      </c>
      <c r="I183" s="24" t="n">
        <f aca="false">ROUND(D183*'⚙️ BEÁLLÍTÁSOK'!B43/100,0)*100</f>
        <v>9300</v>
      </c>
      <c r="J183" s="24" t="n">
        <f aca="false">ROUND(D183*'⚙️ BEÁLLÍTÁSOK'!B44/100,0)*100</f>
        <v>12500</v>
      </c>
      <c r="K183" s="25" t="s">
        <v>312</v>
      </c>
    </row>
    <row r="184" customFormat="false" ht="19.5" hidden="false" customHeight="true" outlineLevel="0" collapsed="false">
      <c r="A184" s="26"/>
      <c r="B184" s="27" t="s">
        <v>313</v>
      </c>
      <c r="C184" s="28" t="s">
        <v>262</v>
      </c>
      <c r="D184" s="23" t="n">
        <v>650</v>
      </c>
      <c r="E184" s="29" t="n">
        <f aca="false">ROUND(D184*'⚙️ BEÁLLÍTÁSOK'!B39/100,0)*100</f>
        <v>700</v>
      </c>
      <c r="F184" s="29" t="n">
        <f aca="false">ROUND(D184*'⚙️ BEÁLLÍTÁSOK'!B40/100,0)*100</f>
        <v>700</v>
      </c>
      <c r="G184" s="29" t="n">
        <f aca="false">ROUND(D184*'⚙️ BEÁLLÍTÁSOK'!B41/100,0)*100</f>
        <v>700</v>
      </c>
      <c r="H184" s="29" t="n">
        <f aca="false">ROUND(D184*'⚙️ BEÁLLÍTÁSOK'!B42/100,0)*100</f>
        <v>700</v>
      </c>
      <c r="I184" s="29" t="n">
        <f aca="false">ROUND(D184*'⚙️ BEÁLLÍTÁSOK'!B43/100,0)*100</f>
        <v>600</v>
      </c>
      <c r="J184" s="29" t="n">
        <f aca="false">ROUND(D184*'⚙️ BEÁLLÍTÁSOK'!B44/100,0)*100</f>
        <v>800</v>
      </c>
      <c r="K184" s="30" t="s">
        <v>263</v>
      </c>
    </row>
    <row r="185" customFormat="false" ht="19.5" hidden="false" customHeight="true" outlineLevel="0" collapsed="false">
      <c r="A185" s="20"/>
      <c r="B185" s="21" t="s">
        <v>314</v>
      </c>
      <c r="C185" s="22" t="s">
        <v>109</v>
      </c>
      <c r="D185" s="23" t="n">
        <v>58000</v>
      </c>
      <c r="E185" s="24" t="n">
        <f aca="false">ROUND(D185*'⚙️ BEÁLLÍTÁSOK'!B39/100,0)*100</f>
        <v>58000</v>
      </c>
      <c r="F185" s="24" t="n">
        <f aca="false">ROUND(D185*'⚙️ BEÁLLÍTÁSOK'!B40/100,0)*100</f>
        <v>66700</v>
      </c>
      <c r="G185" s="24" t="n">
        <f aca="false">ROUND(D185*'⚙️ BEÁLLÍTÁSOK'!B41/100,0)*100</f>
        <v>62600</v>
      </c>
      <c r="H185" s="24" t="n">
        <f aca="false">ROUND(D185*'⚙️ BEÁLLÍTÁSOK'!B42/100,0)*100</f>
        <v>58000</v>
      </c>
      <c r="I185" s="24" t="n">
        <f aca="false">ROUND(D185*'⚙️ BEÁLLÍTÁSOK'!B43/100,0)*100</f>
        <v>53900</v>
      </c>
      <c r="J185" s="24" t="n">
        <f aca="false">ROUND(D185*'⚙️ BEÁLLÍTÁSOK'!B44/100,0)*100</f>
        <v>72500</v>
      </c>
      <c r="K185" s="25" t="s">
        <v>315</v>
      </c>
    </row>
    <row r="186" customFormat="false" ht="18" hidden="false" customHeight="true" outlineLevel="0" collapsed="false">
      <c r="A186" s="33" t="s">
        <v>316</v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 customFormat="false" ht="12.75" hidden="false" customHeight="true" outlineLevel="0" collapsed="false">
      <c r="A187" s="12" t="s">
        <v>317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customFormat="false" ht="19.5" hidden="false" customHeight="true" outlineLevel="0" collapsed="false">
      <c r="A188" s="20"/>
      <c r="B188" s="21" t="s">
        <v>318</v>
      </c>
      <c r="C188" s="22" t="s">
        <v>92</v>
      </c>
      <c r="D188" s="23" t="n">
        <v>42000</v>
      </c>
      <c r="E188" s="24" t="n">
        <f aca="false">ROUND(D188*'⚙️ BEÁLLÍTÁSOK'!B39/100,0)*100</f>
        <v>42000</v>
      </c>
      <c r="F188" s="24" t="n">
        <f aca="false">ROUND(D188*'⚙️ BEÁLLÍTÁSOK'!B40/100,0)*100</f>
        <v>48300</v>
      </c>
      <c r="G188" s="24" t="n">
        <f aca="false">ROUND(D188*'⚙️ BEÁLLÍTÁSOK'!B41/100,0)*100</f>
        <v>45400</v>
      </c>
      <c r="H188" s="24" t="n">
        <f aca="false">ROUND(D188*'⚙️ BEÁLLÍTÁSOK'!B42/100,0)*100</f>
        <v>42000</v>
      </c>
      <c r="I188" s="24" t="n">
        <f aca="false">ROUND(D188*'⚙️ BEÁLLÍTÁSOK'!B43/100,0)*100</f>
        <v>39100</v>
      </c>
      <c r="J188" s="24" t="n">
        <f aca="false">ROUND(D188*'⚙️ BEÁLLÍTÁSOK'!B44/100,0)*100</f>
        <v>52500</v>
      </c>
      <c r="K188" s="25" t="s">
        <v>319</v>
      </c>
    </row>
    <row r="189" customFormat="false" ht="19.5" hidden="false" customHeight="true" outlineLevel="0" collapsed="false">
      <c r="A189" s="26"/>
      <c r="B189" s="27" t="s">
        <v>320</v>
      </c>
      <c r="C189" s="28" t="s">
        <v>92</v>
      </c>
      <c r="D189" s="23" t="n">
        <v>68000</v>
      </c>
      <c r="E189" s="29" t="n">
        <f aca="false">ROUND(D189*'⚙️ BEÁLLÍTÁSOK'!B39/100,0)*100</f>
        <v>68000</v>
      </c>
      <c r="F189" s="29" t="n">
        <f aca="false">ROUND(D189*'⚙️ BEÁLLÍTÁSOK'!B40/100,0)*100</f>
        <v>78200</v>
      </c>
      <c r="G189" s="29" t="n">
        <f aca="false">ROUND(D189*'⚙️ BEÁLLÍTÁSOK'!B41/100,0)*100</f>
        <v>73400</v>
      </c>
      <c r="H189" s="29" t="n">
        <f aca="false">ROUND(D189*'⚙️ BEÁLLÍTÁSOK'!B42/100,0)*100</f>
        <v>68000</v>
      </c>
      <c r="I189" s="29" t="n">
        <f aca="false">ROUND(D189*'⚙️ BEÁLLÍTÁSOK'!B43/100,0)*100</f>
        <v>63200</v>
      </c>
      <c r="J189" s="29" t="n">
        <f aca="false">ROUND(D189*'⚙️ BEÁLLÍTÁSOK'!B44/100,0)*100</f>
        <v>85000</v>
      </c>
      <c r="K189" s="30"/>
    </row>
    <row r="190" customFormat="false" ht="19.5" hidden="false" customHeight="true" outlineLevel="0" collapsed="false">
      <c r="A190" s="20"/>
      <c r="B190" s="21" t="s">
        <v>321</v>
      </c>
      <c r="C190" s="22" t="s">
        <v>92</v>
      </c>
      <c r="D190" s="23" t="n">
        <v>105000</v>
      </c>
      <c r="E190" s="24" t="n">
        <f aca="false">ROUND(D190*'⚙️ BEÁLLÍTÁSOK'!B39/100,0)*100</f>
        <v>105000</v>
      </c>
      <c r="F190" s="24" t="n">
        <f aca="false">ROUND(D190*'⚙️ BEÁLLÍTÁSOK'!B40/100,0)*100</f>
        <v>120700</v>
      </c>
      <c r="G190" s="24" t="n">
        <f aca="false">ROUND(D190*'⚙️ BEÁLLÍTÁSOK'!B41/100,0)*100</f>
        <v>113400</v>
      </c>
      <c r="H190" s="24" t="n">
        <f aca="false">ROUND(D190*'⚙️ BEÁLLÍTÁSOK'!B42/100,0)*100</f>
        <v>105000</v>
      </c>
      <c r="I190" s="24" t="n">
        <f aca="false">ROUND(D190*'⚙️ BEÁLLÍTÁSOK'!B43/100,0)*100</f>
        <v>97700</v>
      </c>
      <c r="J190" s="24" t="n">
        <f aca="false">ROUND(D190*'⚙️ BEÁLLÍTÁSOK'!B44/100,0)*100</f>
        <v>131300</v>
      </c>
      <c r="K190" s="25"/>
    </row>
    <row r="191" customFormat="false" ht="19.5" hidden="false" customHeight="true" outlineLevel="0" collapsed="false">
      <c r="A191" s="26"/>
      <c r="B191" s="27" t="s">
        <v>322</v>
      </c>
      <c r="C191" s="28" t="s">
        <v>92</v>
      </c>
      <c r="D191" s="23" t="n">
        <v>150000</v>
      </c>
      <c r="E191" s="29" t="n">
        <f aca="false">ROUND(D191*'⚙️ BEÁLLÍTÁSOK'!B39/100,0)*100</f>
        <v>150000</v>
      </c>
      <c r="F191" s="29" t="n">
        <f aca="false">ROUND(D191*'⚙️ BEÁLLÍTÁSOK'!B40/100,0)*100</f>
        <v>172500</v>
      </c>
      <c r="G191" s="29" t="n">
        <f aca="false">ROUND(D191*'⚙️ BEÁLLÍTÁSOK'!B41/100,0)*100</f>
        <v>162000</v>
      </c>
      <c r="H191" s="29" t="n">
        <f aca="false">ROUND(D191*'⚙️ BEÁLLÍTÁSOK'!B42/100,0)*100</f>
        <v>150000</v>
      </c>
      <c r="I191" s="29" t="n">
        <f aca="false">ROUND(D191*'⚙️ BEÁLLÍTÁSOK'!B43/100,0)*100</f>
        <v>139500</v>
      </c>
      <c r="J191" s="29" t="n">
        <f aca="false">ROUND(D191*'⚙️ BEÁLLÍTÁSOK'!B44/100,0)*100</f>
        <v>187500</v>
      </c>
      <c r="K191" s="30"/>
    </row>
    <row r="192" customFormat="false" ht="19.5" hidden="false" customHeight="true" outlineLevel="0" collapsed="false">
      <c r="A192" s="20"/>
      <c r="B192" s="21" t="s">
        <v>323</v>
      </c>
      <c r="C192" s="22" t="s">
        <v>92</v>
      </c>
      <c r="D192" s="31" t="s">
        <v>86</v>
      </c>
      <c r="E192" s="32" t="s">
        <v>87</v>
      </c>
      <c r="F192" s="32" t="s">
        <v>87</v>
      </c>
      <c r="G192" s="32" t="s">
        <v>87</v>
      </c>
      <c r="H192" s="32" t="s">
        <v>87</v>
      </c>
      <c r="I192" s="32" t="s">
        <v>87</v>
      </c>
      <c r="J192" s="32" t="s">
        <v>87</v>
      </c>
      <c r="K192" s="25" t="s">
        <v>324</v>
      </c>
    </row>
    <row r="193" customFormat="false" ht="19.5" hidden="false" customHeight="true" outlineLevel="0" collapsed="false">
      <c r="A193" s="26"/>
      <c r="B193" s="27" t="s">
        <v>325</v>
      </c>
      <c r="C193" s="28" t="s">
        <v>80</v>
      </c>
      <c r="D193" s="23" t="n">
        <v>22000</v>
      </c>
      <c r="E193" s="29" t="n">
        <f aca="false">ROUND(D193*'⚙️ BEÁLLÍTÁSOK'!B39/100,0)*100</f>
        <v>22000</v>
      </c>
      <c r="F193" s="29" t="n">
        <f aca="false">ROUND(D193*'⚙️ BEÁLLÍTÁSOK'!B40/100,0)*100</f>
        <v>25300</v>
      </c>
      <c r="G193" s="29" t="n">
        <f aca="false">ROUND(D193*'⚙️ BEÁLLÍTÁSOK'!B41/100,0)*100</f>
        <v>23800</v>
      </c>
      <c r="H193" s="29" t="n">
        <f aca="false">ROUND(D193*'⚙️ BEÁLLÍTÁSOK'!B42/100,0)*100</f>
        <v>22000</v>
      </c>
      <c r="I193" s="29" t="n">
        <f aca="false">ROUND(D193*'⚙️ BEÁLLÍTÁSOK'!B43/100,0)*100</f>
        <v>20500</v>
      </c>
      <c r="J193" s="29" t="n">
        <f aca="false">ROUND(D193*'⚙️ BEÁLLÍTÁSOK'!B44/100,0)*100</f>
        <v>27500</v>
      </c>
      <c r="K193" s="30" t="s">
        <v>326</v>
      </c>
    </row>
    <row r="194" customFormat="false" ht="19.5" hidden="false" customHeight="true" outlineLevel="0" collapsed="false">
      <c r="A194" s="20"/>
      <c r="B194" s="21" t="s">
        <v>327</v>
      </c>
      <c r="C194" s="22" t="s">
        <v>101</v>
      </c>
      <c r="D194" s="23" t="n">
        <v>2600</v>
      </c>
      <c r="E194" s="24" t="n">
        <f aca="false">ROUND(D194*'⚙️ BEÁLLÍTÁSOK'!B39/100,0)*100</f>
        <v>2600</v>
      </c>
      <c r="F194" s="24" t="n">
        <f aca="false">ROUND(D194*'⚙️ BEÁLLÍTÁSOK'!B40/100,0)*100</f>
        <v>3000</v>
      </c>
      <c r="G194" s="24" t="n">
        <f aca="false">ROUND(D194*'⚙️ BEÁLLÍTÁSOK'!B41/100,0)*100</f>
        <v>2800</v>
      </c>
      <c r="H194" s="24" t="n">
        <f aca="false">ROUND(D194*'⚙️ BEÁLLÍTÁSOK'!B42/100,0)*100</f>
        <v>2600</v>
      </c>
      <c r="I194" s="24" t="n">
        <f aca="false">ROUND(D194*'⚙️ BEÁLLÍTÁSOK'!B43/100,0)*100</f>
        <v>2400</v>
      </c>
      <c r="J194" s="24" t="n">
        <f aca="false">ROUND(D194*'⚙️ BEÁLLÍTÁSOK'!B44/100,0)*100</f>
        <v>3300</v>
      </c>
      <c r="K194" s="25" t="s">
        <v>328</v>
      </c>
    </row>
    <row r="195" customFormat="false" ht="21.75" hidden="false" customHeight="true" outlineLevel="0" collapsed="false">
      <c r="A195" s="19" t="s">
        <v>329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customFormat="false" ht="12.75" hidden="false" customHeight="true" outlineLevel="0" collapsed="false">
      <c r="A196" s="12" t="s">
        <v>330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customFormat="false" ht="19.5" hidden="false" customHeight="true" outlineLevel="0" collapsed="false">
      <c r="A197" s="20"/>
      <c r="B197" s="21" t="s">
        <v>331</v>
      </c>
      <c r="C197" s="22" t="s">
        <v>109</v>
      </c>
      <c r="D197" s="23" t="n">
        <v>60000</v>
      </c>
      <c r="E197" s="24" t="n">
        <f aca="false">ROUND(D197*'⚙️ BEÁLLÍTÁSOK'!B39/100,0)*100</f>
        <v>60000</v>
      </c>
      <c r="F197" s="24" t="n">
        <f aca="false">ROUND(D197*'⚙️ BEÁLLÍTÁSOK'!B40/100,0)*100</f>
        <v>69000</v>
      </c>
      <c r="G197" s="24" t="n">
        <f aca="false">ROUND(D197*'⚙️ BEÁLLÍTÁSOK'!B41/100,0)*100</f>
        <v>64800</v>
      </c>
      <c r="H197" s="24" t="n">
        <f aca="false">ROUND(D197*'⚙️ BEÁLLÍTÁSOK'!B42/100,0)*100</f>
        <v>60000</v>
      </c>
      <c r="I197" s="24" t="n">
        <f aca="false">ROUND(D197*'⚙️ BEÁLLÍTÁSOK'!B43/100,0)*100</f>
        <v>55800</v>
      </c>
      <c r="J197" s="24" t="n">
        <f aca="false">ROUND(D197*'⚙️ BEÁLLÍTÁSOK'!B44/100,0)*100</f>
        <v>75000</v>
      </c>
      <c r="K197" s="25"/>
    </row>
    <row r="198" customFormat="false" ht="19.5" hidden="false" customHeight="true" outlineLevel="0" collapsed="false">
      <c r="A198" s="26"/>
      <c r="B198" s="27" t="s">
        <v>332</v>
      </c>
      <c r="C198" s="28" t="s">
        <v>109</v>
      </c>
      <c r="D198" s="23" t="n">
        <v>42000</v>
      </c>
      <c r="E198" s="29" t="n">
        <f aca="false">ROUND(D198*'⚙️ BEÁLLÍTÁSOK'!B39/100,0)*100</f>
        <v>42000</v>
      </c>
      <c r="F198" s="29" t="n">
        <f aca="false">ROUND(D198*'⚙️ BEÁLLÍTÁSOK'!B40/100,0)*100</f>
        <v>48300</v>
      </c>
      <c r="G198" s="29" t="n">
        <f aca="false">ROUND(D198*'⚙️ BEÁLLÍTÁSOK'!B41/100,0)*100</f>
        <v>45400</v>
      </c>
      <c r="H198" s="29" t="n">
        <f aca="false">ROUND(D198*'⚙️ BEÁLLÍTÁSOK'!B42/100,0)*100</f>
        <v>42000</v>
      </c>
      <c r="I198" s="29" t="n">
        <f aca="false">ROUND(D198*'⚙️ BEÁLLÍTÁSOK'!B43/100,0)*100</f>
        <v>39100</v>
      </c>
      <c r="J198" s="29" t="n">
        <f aca="false">ROUND(D198*'⚙️ BEÁLLÍTÁSOK'!B44/100,0)*100</f>
        <v>52500</v>
      </c>
      <c r="K198" s="30"/>
    </row>
    <row r="199" customFormat="false" ht="19.5" hidden="false" customHeight="true" outlineLevel="0" collapsed="false">
      <c r="A199" s="20"/>
      <c r="B199" s="21" t="s">
        <v>333</v>
      </c>
      <c r="C199" s="22" t="s">
        <v>92</v>
      </c>
      <c r="D199" s="23" t="n">
        <v>48000</v>
      </c>
      <c r="E199" s="24" t="n">
        <f aca="false">ROUND(D199*'⚙️ BEÁLLÍTÁSOK'!B39/100,0)*100</f>
        <v>48000</v>
      </c>
      <c r="F199" s="24" t="n">
        <f aca="false">ROUND(D199*'⚙️ BEÁLLÍTÁSOK'!B40/100,0)*100</f>
        <v>55200</v>
      </c>
      <c r="G199" s="24" t="n">
        <f aca="false">ROUND(D199*'⚙️ BEÁLLÍTÁSOK'!B41/100,0)*100</f>
        <v>51800</v>
      </c>
      <c r="H199" s="24" t="n">
        <f aca="false">ROUND(D199*'⚙️ BEÁLLÍTÁSOK'!B42/100,0)*100</f>
        <v>48000</v>
      </c>
      <c r="I199" s="24" t="n">
        <f aca="false">ROUND(D199*'⚙️ BEÁLLÍTÁSOK'!B43/100,0)*100</f>
        <v>44600</v>
      </c>
      <c r="J199" s="24" t="n">
        <f aca="false">ROUND(D199*'⚙️ BEÁLLÍTÁSOK'!B44/100,0)*100</f>
        <v>60000</v>
      </c>
      <c r="K199" s="25"/>
    </row>
    <row r="200" customFormat="false" ht="19.5" hidden="false" customHeight="true" outlineLevel="0" collapsed="false">
      <c r="A200" s="26"/>
      <c r="B200" s="27" t="s">
        <v>334</v>
      </c>
      <c r="C200" s="28" t="s">
        <v>109</v>
      </c>
      <c r="D200" s="23" t="n">
        <v>78000</v>
      </c>
      <c r="E200" s="29" t="n">
        <f aca="false">ROUND(D200*'⚙️ BEÁLLÍTÁSOK'!B39/100,0)*100</f>
        <v>78000</v>
      </c>
      <c r="F200" s="29" t="n">
        <f aca="false">ROUND(D200*'⚙️ BEÁLLÍTÁSOK'!B40/100,0)*100</f>
        <v>89700</v>
      </c>
      <c r="G200" s="29" t="n">
        <f aca="false">ROUND(D200*'⚙️ BEÁLLÍTÁSOK'!B41/100,0)*100</f>
        <v>84200</v>
      </c>
      <c r="H200" s="29" t="n">
        <f aca="false">ROUND(D200*'⚙️ BEÁLLÍTÁSOK'!B42/100,0)*100</f>
        <v>78000</v>
      </c>
      <c r="I200" s="29" t="n">
        <f aca="false">ROUND(D200*'⚙️ BEÁLLÍTÁSOK'!B43/100,0)*100</f>
        <v>72500</v>
      </c>
      <c r="J200" s="29" t="n">
        <f aca="false">ROUND(D200*'⚙️ BEÁLLÍTÁSOK'!B44/100,0)*100</f>
        <v>97500</v>
      </c>
      <c r="K200" s="30" t="s">
        <v>335</v>
      </c>
    </row>
    <row r="201" customFormat="false" ht="19.5" hidden="false" customHeight="true" outlineLevel="0" collapsed="false">
      <c r="A201" s="20"/>
      <c r="B201" s="21" t="s">
        <v>336</v>
      </c>
      <c r="C201" s="22" t="s">
        <v>101</v>
      </c>
      <c r="D201" s="23" t="n">
        <v>6500</v>
      </c>
      <c r="E201" s="24" t="n">
        <f aca="false">ROUND(D201*'⚙️ BEÁLLÍTÁSOK'!B39/100,0)*100</f>
        <v>6500</v>
      </c>
      <c r="F201" s="24" t="n">
        <f aca="false">ROUND(D201*'⚙️ BEÁLLÍTÁSOK'!B40/100,0)*100</f>
        <v>7500</v>
      </c>
      <c r="G201" s="24" t="n">
        <f aca="false">ROUND(D201*'⚙️ BEÁLLÍTÁSOK'!B41/100,0)*100</f>
        <v>7000</v>
      </c>
      <c r="H201" s="24" t="n">
        <f aca="false">ROUND(D201*'⚙️ BEÁLLÍTÁSOK'!B42/100,0)*100</f>
        <v>6500</v>
      </c>
      <c r="I201" s="24" t="n">
        <f aca="false">ROUND(D201*'⚙️ BEÁLLÍTÁSOK'!B43/100,0)*100</f>
        <v>6000</v>
      </c>
      <c r="J201" s="24" t="n">
        <f aca="false">ROUND(D201*'⚙️ BEÁLLÍTÁSOK'!B44/100,0)*100</f>
        <v>8100</v>
      </c>
      <c r="K201" s="25" t="s">
        <v>337</v>
      </c>
    </row>
    <row r="202" customFormat="false" ht="19.5" hidden="false" customHeight="true" outlineLevel="0" collapsed="false">
      <c r="A202" s="26"/>
      <c r="B202" s="27" t="s">
        <v>338</v>
      </c>
      <c r="C202" s="28" t="s">
        <v>92</v>
      </c>
      <c r="D202" s="23" t="n">
        <v>20000</v>
      </c>
      <c r="E202" s="29" t="n">
        <f aca="false">ROUND(D202*'⚙️ BEÁLLÍTÁSOK'!B39/100,0)*100</f>
        <v>20000</v>
      </c>
      <c r="F202" s="29" t="n">
        <f aca="false">ROUND(D202*'⚙️ BEÁLLÍTÁSOK'!B40/100,0)*100</f>
        <v>23000</v>
      </c>
      <c r="G202" s="29" t="n">
        <f aca="false">ROUND(D202*'⚙️ BEÁLLÍTÁSOK'!B41/100,0)*100</f>
        <v>21600</v>
      </c>
      <c r="H202" s="29" t="n">
        <f aca="false">ROUND(D202*'⚙️ BEÁLLÍTÁSOK'!B42/100,0)*100</f>
        <v>20000</v>
      </c>
      <c r="I202" s="29" t="n">
        <f aca="false">ROUND(D202*'⚙️ BEÁLLÍTÁSOK'!B43/100,0)*100</f>
        <v>18600</v>
      </c>
      <c r="J202" s="29" t="n">
        <f aca="false">ROUND(D202*'⚙️ BEÁLLÍTÁSOK'!B44/100,0)*100</f>
        <v>25000</v>
      </c>
      <c r="K202" s="30" t="s">
        <v>339</v>
      </c>
    </row>
    <row r="203" customFormat="false" ht="19.5" hidden="false" customHeight="true" outlineLevel="0" collapsed="false">
      <c r="A203" s="20"/>
      <c r="B203" s="21" t="s">
        <v>340</v>
      </c>
      <c r="C203" s="22" t="s">
        <v>109</v>
      </c>
      <c r="D203" s="23" t="n">
        <v>90000</v>
      </c>
      <c r="E203" s="24" t="n">
        <f aca="false">ROUND(D203*'⚙️ BEÁLLÍTÁSOK'!B39/100,0)*100</f>
        <v>90000</v>
      </c>
      <c r="F203" s="24" t="n">
        <f aca="false">ROUND(D203*'⚙️ BEÁLLÍTÁSOK'!B40/100,0)*100</f>
        <v>103500</v>
      </c>
      <c r="G203" s="24" t="n">
        <f aca="false">ROUND(D203*'⚙️ BEÁLLÍTÁSOK'!B41/100,0)*100</f>
        <v>97200</v>
      </c>
      <c r="H203" s="24" t="n">
        <f aca="false">ROUND(D203*'⚙️ BEÁLLÍTÁSOK'!B42/100,0)*100</f>
        <v>90000</v>
      </c>
      <c r="I203" s="24" t="n">
        <f aca="false">ROUND(D203*'⚙️ BEÁLLÍTÁSOK'!B43/100,0)*100</f>
        <v>83700</v>
      </c>
      <c r="J203" s="24" t="n">
        <f aca="false">ROUND(D203*'⚙️ BEÁLLÍTÁSOK'!B44/100,0)*100</f>
        <v>112500</v>
      </c>
      <c r="K203" s="25" t="s">
        <v>341</v>
      </c>
    </row>
    <row r="204" customFormat="false" ht="19.5" hidden="false" customHeight="true" outlineLevel="0" collapsed="false">
      <c r="A204" s="26"/>
      <c r="B204" s="27" t="s">
        <v>342</v>
      </c>
      <c r="C204" s="28" t="s">
        <v>109</v>
      </c>
      <c r="D204" s="23" t="n">
        <v>100000</v>
      </c>
      <c r="E204" s="29" t="n">
        <f aca="false">ROUND(D204*'⚙️ BEÁLLÍTÁSOK'!B39/100,0)*100</f>
        <v>100000</v>
      </c>
      <c r="F204" s="29" t="n">
        <f aca="false">ROUND(D204*'⚙️ BEÁLLÍTÁSOK'!B40/100,0)*100</f>
        <v>115000</v>
      </c>
      <c r="G204" s="29" t="n">
        <f aca="false">ROUND(D204*'⚙️ BEÁLLÍTÁSOK'!B41/100,0)*100</f>
        <v>108000</v>
      </c>
      <c r="H204" s="29" t="n">
        <f aca="false">ROUND(D204*'⚙️ BEÁLLÍTÁSOK'!B42/100,0)*100</f>
        <v>100000</v>
      </c>
      <c r="I204" s="29" t="n">
        <f aca="false">ROUND(D204*'⚙️ BEÁLLÍTÁSOK'!B43/100,0)*100</f>
        <v>93000</v>
      </c>
      <c r="J204" s="29" t="n">
        <f aca="false">ROUND(D204*'⚙️ BEÁLLÍTÁSOK'!B44/100,0)*100</f>
        <v>125000</v>
      </c>
      <c r="K204" s="30" t="s">
        <v>343</v>
      </c>
    </row>
    <row r="205" customFormat="false" ht="21.75" hidden="false" customHeight="true" outlineLevel="0" collapsed="false">
      <c r="A205" s="19" t="s">
        <v>344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customFormat="false" ht="12.75" hidden="false" customHeight="true" outlineLevel="0" collapsed="false">
      <c r="A206" s="12" t="s">
        <v>345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 customFormat="false" ht="18" hidden="false" customHeight="true" outlineLevel="0" collapsed="false">
      <c r="A207" s="33" t="s">
        <v>346</v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 customFormat="false" ht="19.5" hidden="false" customHeight="true" outlineLevel="0" collapsed="false">
      <c r="A208" s="20"/>
      <c r="B208" s="21" t="s">
        <v>347</v>
      </c>
      <c r="C208" s="22" t="s">
        <v>92</v>
      </c>
      <c r="D208" s="23" t="n">
        <v>16000</v>
      </c>
      <c r="E208" s="24" t="n">
        <f aca="false">ROUND(D208*'⚙️ BEÁLLÍTÁSOK'!B39/100,0)*100</f>
        <v>16000</v>
      </c>
      <c r="F208" s="24" t="n">
        <f aca="false">ROUND(D208*'⚙️ BEÁLLÍTÁSOK'!B40/100,0)*100</f>
        <v>18400</v>
      </c>
      <c r="G208" s="24" t="n">
        <f aca="false">ROUND(D208*'⚙️ BEÁLLÍTÁSOK'!B41/100,0)*100</f>
        <v>17300</v>
      </c>
      <c r="H208" s="24" t="n">
        <f aca="false">ROUND(D208*'⚙️ BEÁLLÍTÁSOK'!B42/100,0)*100</f>
        <v>16000</v>
      </c>
      <c r="I208" s="24" t="n">
        <f aca="false">ROUND(D208*'⚙️ BEÁLLÍTÁSOK'!B43/100,0)*100</f>
        <v>14900</v>
      </c>
      <c r="J208" s="24" t="n">
        <f aca="false">ROUND(D208*'⚙️ BEÁLLÍTÁSOK'!B44/100,0)*100</f>
        <v>20000</v>
      </c>
      <c r="K208" s="25" t="s">
        <v>348</v>
      </c>
    </row>
    <row r="209" customFormat="false" ht="19.5" hidden="false" customHeight="true" outlineLevel="0" collapsed="false">
      <c r="A209" s="26"/>
      <c r="B209" s="27" t="s">
        <v>349</v>
      </c>
      <c r="C209" s="28" t="s">
        <v>109</v>
      </c>
      <c r="D209" s="23" t="n">
        <v>78000</v>
      </c>
      <c r="E209" s="29" t="n">
        <f aca="false">ROUND(D209*'⚙️ BEÁLLÍTÁSOK'!B39/100,0)*100</f>
        <v>78000</v>
      </c>
      <c r="F209" s="29" t="n">
        <f aca="false">ROUND(D209*'⚙️ BEÁLLÍTÁSOK'!B40/100,0)*100</f>
        <v>89700</v>
      </c>
      <c r="G209" s="29" t="n">
        <f aca="false">ROUND(D209*'⚙️ BEÁLLÍTÁSOK'!B41/100,0)*100</f>
        <v>84200</v>
      </c>
      <c r="H209" s="29" t="n">
        <f aca="false">ROUND(D209*'⚙️ BEÁLLÍTÁSOK'!B42/100,0)*100</f>
        <v>78000</v>
      </c>
      <c r="I209" s="29" t="n">
        <f aca="false">ROUND(D209*'⚙️ BEÁLLÍTÁSOK'!B43/100,0)*100</f>
        <v>72500</v>
      </c>
      <c r="J209" s="29" t="n">
        <f aca="false">ROUND(D209*'⚙️ BEÁLLÍTÁSOK'!B44/100,0)*100</f>
        <v>97500</v>
      </c>
      <c r="K209" s="30" t="s">
        <v>350</v>
      </c>
    </row>
    <row r="210" customFormat="false" ht="19.5" hidden="false" customHeight="true" outlineLevel="0" collapsed="false">
      <c r="A210" s="20"/>
      <c r="B210" s="21" t="s">
        <v>351</v>
      </c>
      <c r="C210" s="22" t="s">
        <v>92</v>
      </c>
      <c r="D210" s="23" t="n">
        <v>24000</v>
      </c>
      <c r="E210" s="24" t="n">
        <f aca="false">ROUND(D210*'⚙️ BEÁLLÍTÁSOK'!B39/100,0)*100</f>
        <v>24000</v>
      </c>
      <c r="F210" s="24" t="n">
        <f aca="false">ROUND(D210*'⚙️ BEÁLLÍTÁSOK'!B40/100,0)*100</f>
        <v>27600</v>
      </c>
      <c r="G210" s="24" t="n">
        <f aca="false">ROUND(D210*'⚙️ BEÁLLÍTÁSOK'!B41/100,0)*100</f>
        <v>25900</v>
      </c>
      <c r="H210" s="24" t="n">
        <f aca="false">ROUND(D210*'⚙️ BEÁLLÍTÁSOK'!B42/100,0)*100</f>
        <v>24000</v>
      </c>
      <c r="I210" s="24" t="n">
        <f aca="false">ROUND(D210*'⚙️ BEÁLLÍTÁSOK'!B43/100,0)*100</f>
        <v>22300</v>
      </c>
      <c r="J210" s="24" t="n">
        <f aca="false">ROUND(D210*'⚙️ BEÁLLÍTÁSOK'!B44/100,0)*100</f>
        <v>30000</v>
      </c>
      <c r="K210" s="25"/>
    </row>
    <row r="211" customFormat="false" ht="19.5" hidden="false" customHeight="true" outlineLevel="0" collapsed="false">
      <c r="A211" s="26"/>
      <c r="B211" s="27" t="s">
        <v>352</v>
      </c>
      <c r="C211" s="28" t="s">
        <v>109</v>
      </c>
      <c r="D211" s="23" t="n">
        <v>32000</v>
      </c>
      <c r="E211" s="29" t="n">
        <f aca="false">ROUND(D211*'⚙️ BEÁLLÍTÁSOK'!B39/100,0)*100</f>
        <v>32000</v>
      </c>
      <c r="F211" s="29" t="n">
        <f aca="false">ROUND(D211*'⚙️ BEÁLLÍTÁSOK'!B40/100,0)*100</f>
        <v>36800</v>
      </c>
      <c r="G211" s="29" t="n">
        <f aca="false">ROUND(D211*'⚙️ BEÁLLÍTÁSOK'!B41/100,0)*100</f>
        <v>34600</v>
      </c>
      <c r="H211" s="29" t="n">
        <f aca="false">ROUND(D211*'⚙️ BEÁLLÍTÁSOK'!B42/100,0)*100</f>
        <v>32000</v>
      </c>
      <c r="I211" s="29" t="n">
        <f aca="false">ROUND(D211*'⚙️ BEÁLLÍTÁSOK'!B43/100,0)*100</f>
        <v>29800</v>
      </c>
      <c r="J211" s="29" t="n">
        <f aca="false">ROUND(D211*'⚙️ BEÁLLÍTÁSOK'!B44/100,0)*100</f>
        <v>40000</v>
      </c>
      <c r="K211" s="30" t="s">
        <v>353</v>
      </c>
    </row>
    <row r="212" customFormat="false" ht="18" hidden="false" customHeight="true" outlineLevel="0" collapsed="false">
      <c r="A212" s="33" t="s">
        <v>354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</row>
    <row r="213" customFormat="false" ht="19.5" hidden="false" customHeight="true" outlineLevel="0" collapsed="false">
      <c r="A213" s="20"/>
      <c r="B213" s="21" t="s">
        <v>355</v>
      </c>
      <c r="C213" s="22" t="s">
        <v>101</v>
      </c>
      <c r="D213" s="23" t="n">
        <v>7500</v>
      </c>
      <c r="E213" s="24" t="n">
        <f aca="false">ROUND(D213*'⚙️ BEÁLLÍTÁSOK'!B39/100,0)*100</f>
        <v>7500</v>
      </c>
      <c r="F213" s="24" t="n">
        <f aca="false">ROUND(D213*'⚙️ BEÁLLÍTÁSOK'!B40/100,0)*100</f>
        <v>8600</v>
      </c>
      <c r="G213" s="24" t="n">
        <f aca="false">ROUND(D213*'⚙️ BEÁLLÍTÁSOK'!B41/100,0)*100</f>
        <v>8100</v>
      </c>
      <c r="H213" s="24" t="n">
        <f aca="false">ROUND(D213*'⚙️ BEÁLLÍTÁSOK'!B42/100,0)*100</f>
        <v>7500</v>
      </c>
      <c r="I213" s="24" t="n">
        <f aca="false">ROUND(D213*'⚙️ BEÁLLÍTÁSOK'!B43/100,0)*100</f>
        <v>7000</v>
      </c>
      <c r="J213" s="24" t="n">
        <f aca="false">ROUND(D213*'⚙️ BEÁLLÍTÁSOK'!B44/100,0)*100</f>
        <v>9400</v>
      </c>
      <c r="K213" s="25" t="s">
        <v>151</v>
      </c>
    </row>
    <row r="214" customFormat="false" ht="19.5" hidden="false" customHeight="true" outlineLevel="0" collapsed="false">
      <c r="A214" s="26"/>
      <c r="B214" s="27" t="s">
        <v>356</v>
      </c>
      <c r="C214" s="28" t="s">
        <v>101</v>
      </c>
      <c r="D214" s="23" t="n">
        <v>9000</v>
      </c>
      <c r="E214" s="29" t="n">
        <f aca="false">ROUND(D214*'⚙️ BEÁLLÍTÁSOK'!B39/100,0)*100</f>
        <v>9000</v>
      </c>
      <c r="F214" s="29" t="n">
        <f aca="false">ROUND(D214*'⚙️ BEÁLLÍTÁSOK'!B40/100,0)*100</f>
        <v>10400</v>
      </c>
      <c r="G214" s="29" t="n">
        <f aca="false">ROUND(D214*'⚙️ BEÁLLÍTÁSOK'!B41/100,0)*100</f>
        <v>9700</v>
      </c>
      <c r="H214" s="29" t="n">
        <f aca="false">ROUND(D214*'⚙️ BEÁLLÍTÁSOK'!B42/100,0)*100</f>
        <v>9000</v>
      </c>
      <c r="I214" s="29" t="n">
        <f aca="false">ROUND(D214*'⚙️ BEÁLLÍTÁSOK'!B43/100,0)*100</f>
        <v>8400</v>
      </c>
      <c r="J214" s="29" t="n">
        <f aca="false">ROUND(D214*'⚙️ BEÁLLÍTÁSOK'!B44/100,0)*100</f>
        <v>11300</v>
      </c>
      <c r="K214" s="30"/>
    </row>
    <row r="215" customFormat="false" ht="19.5" hidden="false" customHeight="true" outlineLevel="0" collapsed="false">
      <c r="A215" s="20"/>
      <c r="B215" s="21" t="s">
        <v>357</v>
      </c>
      <c r="C215" s="22" t="s">
        <v>109</v>
      </c>
      <c r="D215" s="23" t="n">
        <v>32000</v>
      </c>
      <c r="E215" s="24" t="n">
        <f aca="false">ROUND(D215*'⚙️ BEÁLLÍTÁSOK'!B39/100,0)*100</f>
        <v>32000</v>
      </c>
      <c r="F215" s="24" t="n">
        <f aca="false">ROUND(D215*'⚙️ BEÁLLÍTÁSOK'!B40/100,0)*100</f>
        <v>36800</v>
      </c>
      <c r="G215" s="24" t="n">
        <f aca="false">ROUND(D215*'⚙️ BEÁLLÍTÁSOK'!B41/100,0)*100</f>
        <v>34600</v>
      </c>
      <c r="H215" s="24" t="n">
        <f aca="false">ROUND(D215*'⚙️ BEÁLLÍTÁSOK'!B42/100,0)*100</f>
        <v>32000</v>
      </c>
      <c r="I215" s="24" t="n">
        <f aca="false">ROUND(D215*'⚙️ BEÁLLÍTÁSOK'!B43/100,0)*100</f>
        <v>29800</v>
      </c>
      <c r="J215" s="24" t="n">
        <f aca="false">ROUND(D215*'⚙️ BEÁLLÍTÁSOK'!B44/100,0)*100</f>
        <v>40000</v>
      </c>
      <c r="K215" s="25"/>
    </row>
    <row r="216" customFormat="false" ht="19.5" hidden="false" customHeight="true" outlineLevel="0" collapsed="false">
      <c r="A216" s="26"/>
      <c r="B216" s="27" t="s">
        <v>358</v>
      </c>
      <c r="C216" s="28" t="s">
        <v>106</v>
      </c>
      <c r="D216" s="34" t="s">
        <v>86</v>
      </c>
      <c r="E216" s="35" t="s">
        <v>87</v>
      </c>
      <c r="F216" s="35" t="s">
        <v>87</v>
      </c>
      <c r="G216" s="35" t="s">
        <v>87</v>
      </c>
      <c r="H216" s="35" t="s">
        <v>87</v>
      </c>
      <c r="I216" s="35" t="s">
        <v>87</v>
      </c>
      <c r="J216" s="35" t="s">
        <v>87</v>
      </c>
      <c r="K216" s="30" t="s">
        <v>359</v>
      </c>
    </row>
    <row r="217" customFormat="false" ht="19.5" hidden="false" customHeight="true" outlineLevel="0" collapsed="false">
      <c r="A217" s="20"/>
      <c r="B217" s="21" t="s">
        <v>360</v>
      </c>
      <c r="C217" s="22" t="s">
        <v>92</v>
      </c>
      <c r="D217" s="23" t="n">
        <v>30000</v>
      </c>
      <c r="E217" s="24" t="n">
        <f aca="false">ROUND(D217*'⚙️ BEÁLLÍTÁSOK'!B39/100,0)*100</f>
        <v>30000</v>
      </c>
      <c r="F217" s="24" t="n">
        <f aca="false">ROUND(D217*'⚙️ BEÁLLÍTÁSOK'!B40/100,0)*100</f>
        <v>34500</v>
      </c>
      <c r="G217" s="24" t="n">
        <f aca="false">ROUND(D217*'⚙️ BEÁLLÍTÁSOK'!B41/100,0)*100</f>
        <v>32400</v>
      </c>
      <c r="H217" s="24" t="n">
        <f aca="false">ROUND(D217*'⚙️ BEÁLLÍTÁSOK'!B42/100,0)*100</f>
        <v>30000</v>
      </c>
      <c r="I217" s="24" t="n">
        <f aca="false">ROUND(D217*'⚙️ BEÁLLÍTÁSOK'!B43/100,0)*100</f>
        <v>27900</v>
      </c>
      <c r="J217" s="24" t="n">
        <f aca="false">ROUND(D217*'⚙️ BEÁLLÍTÁSOK'!B44/100,0)*100</f>
        <v>37500</v>
      </c>
      <c r="K217" s="25" t="s">
        <v>361</v>
      </c>
    </row>
    <row r="218" customFormat="false" ht="19.5" hidden="false" customHeight="true" outlineLevel="0" collapsed="false">
      <c r="A218" s="26"/>
      <c r="B218" s="27" t="s">
        <v>362</v>
      </c>
      <c r="C218" s="28" t="s">
        <v>262</v>
      </c>
      <c r="D218" s="23" t="n">
        <v>1600</v>
      </c>
      <c r="E218" s="29" t="n">
        <f aca="false">ROUND(D218*'⚙️ BEÁLLÍTÁSOK'!B39/100,0)*100</f>
        <v>1600</v>
      </c>
      <c r="F218" s="29" t="n">
        <f aca="false">ROUND(D218*'⚙️ BEÁLLÍTÁSOK'!B40/100,0)*100</f>
        <v>1800</v>
      </c>
      <c r="G218" s="29" t="n">
        <f aca="false">ROUND(D218*'⚙️ BEÁLLÍTÁSOK'!B41/100,0)*100</f>
        <v>1700</v>
      </c>
      <c r="H218" s="29" t="n">
        <f aca="false">ROUND(D218*'⚙️ BEÁLLÍTÁSOK'!B42/100,0)*100</f>
        <v>1600</v>
      </c>
      <c r="I218" s="29" t="n">
        <f aca="false">ROUND(D218*'⚙️ BEÁLLÍTÁSOK'!B43/100,0)*100</f>
        <v>1500</v>
      </c>
      <c r="J218" s="29" t="n">
        <f aca="false">ROUND(D218*'⚙️ BEÁLLÍTÁSOK'!B44/100,0)*100</f>
        <v>2000</v>
      </c>
      <c r="K218" s="30" t="s">
        <v>263</v>
      </c>
    </row>
    <row r="219" customFormat="false" ht="18" hidden="false" customHeight="true" outlineLevel="0" collapsed="false">
      <c r="A219" s="33" t="s">
        <v>363</v>
      </c>
      <c r="B219" s="33"/>
      <c r="C219" s="33"/>
      <c r="D219" s="33"/>
      <c r="E219" s="33"/>
      <c r="F219" s="33"/>
      <c r="G219" s="33"/>
      <c r="H219" s="33"/>
      <c r="I219" s="33"/>
      <c r="J219" s="33"/>
      <c r="K219" s="33"/>
    </row>
    <row r="220" customFormat="false" ht="19.5" hidden="false" customHeight="true" outlineLevel="0" collapsed="false">
      <c r="A220" s="20"/>
      <c r="B220" s="21" t="s">
        <v>364</v>
      </c>
      <c r="C220" s="22" t="s">
        <v>92</v>
      </c>
      <c r="D220" s="23" t="n">
        <v>16000</v>
      </c>
      <c r="E220" s="24" t="n">
        <f aca="false">ROUND(D220*'⚙️ BEÁLLÍTÁSOK'!B39/100,0)*100</f>
        <v>16000</v>
      </c>
      <c r="F220" s="24" t="n">
        <f aca="false">ROUND(D220*'⚙️ BEÁLLÍTÁSOK'!B40/100,0)*100</f>
        <v>18400</v>
      </c>
      <c r="G220" s="24" t="n">
        <f aca="false">ROUND(D220*'⚙️ BEÁLLÍTÁSOK'!B41/100,0)*100</f>
        <v>17300</v>
      </c>
      <c r="H220" s="24" t="n">
        <f aca="false">ROUND(D220*'⚙️ BEÁLLÍTÁSOK'!B42/100,0)*100</f>
        <v>16000</v>
      </c>
      <c r="I220" s="24" t="n">
        <f aca="false">ROUND(D220*'⚙️ BEÁLLÍTÁSOK'!B43/100,0)*100</f>
        <v>14900</v>
      </c>
      <c r="J220" s="24" t="n">
        <f aca="false">ROUND(D220*'⚙️ BEÁLLÍTÁSOK'!B44/100,0)*100</f>
        <v>20000</v>
      </c>
      <c r="K220" s="25"/>
    </row>
    <row r="221" customFormat="false" ht="19.5" hidden="false" customHeight="true" outlineLevel="0" collapsed="false">
      <c r="A221" s="26"/>
      <c r="B221" s="27" t="s">
        <v>365</v>
      </c>
      <c r="C221" s="28" t="s">
        <v>101</v>
      </c>
      <c r="D221" s="23" t="n">
        <v>65000</v>
      </c>
      <c r="E221" s="29" t="n">
        <f aca="false">ROUND(D221*'⚙️ BEÁLLÍTÁSOK'!B39/100,0)*100</f>
        <v>65000</v>
      </c>
      <c r="F221" s="29" t="n">
        <f aca="false">ROUND(D221*'⚙️ BEÁLLÍTÁSOK'!B40/100,0)*100</f>
        <v>74800</v>
      </c>
      <c r="G221" s="29" t="n">
        <f aca="false">ROUND(D221*'⚙️ BEÁLLÍTÁSOK'!B41/100,0)*100</f>
        <v>70200</v>
      </c>
      <c r="H221" s="29" t="n">
        <f aca="false">ROUND(D221*'⚙️ BEÁLLÍTÁSOK'!B42/100,0)*100</f>
        <v>65000</v>
      </c>
      <c r="I221" s="29" t="n">
        <f aca="false">ROUND(D221*'⚙️ BEÁLLÍTÁSOK'!B43/100,0)*100</f>
        <v>60500</v>
      </c>
      <c r="J221" s="29" t="n">
        <f aca="false">ROUND(D221*'⚙️ BEÁLLÍTÁSOK'!B44/100,0)*100</f>
        <v>81300</v>
      </c>
      <c r="K221" s="30" t="s">
        <v>366</v>
      </c>
    </row>
    <row r="222" customFormat="false" ht="19.5" hidden="false" customHeight="true" outlineLevel="0" collapsed="false">
      <c r="A222" s="20"/>
      <c r="B222" s="21" t="s">
        <v>367</v>
      </c>
      <c r="C222" s="22" t="s">
        <v>101</v>
      </c>
      <c r="D222" s="23" t="n">
        <v>95000</v>
      </c>
      <c r="E222" s="24" t="n">
        <f aca="false">ROUND(D222*'⚙️ BEÁLLÍTÁSOK'!B39/100,0)*100</f>
        <v>95000</v>
      </c>
      <c r="F222" s="24" t="n">
        <f aca="false">ROUND(D222*'⚙️ BEÁLLÍTÁSOK'!B40/100,0)*100</f>
        <v>109200</v>
      </c>
      <c r="G222" s="24" t="n">
        <f aca="false">ROUND(D222*'⚙️ BEÁLLÍTÁSOK'!B41/100,0)*100</f>
        <v>102600</v>
      </c>
      <c r="H222" s="24" t="n">
        <f aca="false">ROUND(D222*'⚙️ BEÁLLÍTÁSOK'!B42/100,0)*100</f>
        <v>95000</v>
      </c>
      <c r="I222" s="24" t="n">
        <f aca="false">ROUND(D222*'⚙️ BEÁLLÍTÁSOK'!B43/100,0)*100</f>
        <v>88400</v>
      </c>
      <c r="J222" s="24" t="n">
        <f aca="false">ROUND(D222*'⚙️ BEÁLLÍTÁSOK'!B44/100,0)*100</f>
        <v>118800</v>
      </c>
      <c r="K222" s="25" t="s">
        <v>366</v>
      </c>
    </row>
    <row r="223" customFormat="false" ht="19.5" hidden="false" customHeight="true" outlineLevel="0" collapsed="false">
      <c r="A223" s="26"/>
      <c r="B223" s="27" t="s">
        <v>368</v>
      </c>
      <c r="C223" s="28" t="s">
        <v>109</v>
      </c>
      <c r="D223" s="23" t="n">
        <v>30000</v>
      </c>
      <c r="E223" s="29" t="n">
        <f aca="false">ROUND(D223*'⚙️ BEÁLLÍTÁSOK'!B39/100,0)*100</f>
        <v>30000</v>
      </c>
      <c r="F223" s="29" t="n">
        <f aca="false">ROUND(D223*'⚙️ BEÁLLÍTÁSOK'!B40/100,0)*100</f>
        <v>34500</v>
      </c>
      <c r="G223" s="29" t="n">
        <f aca="false">ROUND(D223*'⚙️ BEÁLLÍTÁSOK'!B41/100,0)*100</f>
        <v>32400</v>
      </c>
      <c r="H223" s="29" t="n">
        <f aca="false">ROUND(D223*'⚙️ BEÁLLÍTÁSOK'!B42/100,0)*100</f>
        <v>30000</v>
      </c>
      <c r="I223" s="29" t="n">
        <f aca="false">ROUND(D223*'⚙️ BEÁLLÍTÁSOK'!B43/100,0)*100</f>
        <v>27900</v>
      </c>
      <c r="J223" s="29" t="n">
        <f aca="false">ROUND(D223*'⚙️ BEÁLLÍTÁSOK'!B44/100,0)*100</f>
        <v>37500</v>
      </c>
      <c r="K223" s="30" t="s">
        <v>369</v>
      </c>
    </row>
    <row r="224" customFormat="false" ht="19.5" hidden="false" customHeight="true" outlineLevel="0" collapsed="false">
      <c r="A224" s="20"/>
      <c r="B224" s="21" t="s">
        <v>370</v>
      </c>
      <c r="C224" s="22" t="s">
        <v>109</v>
      </c>
      <c r="D224" s="23" t="n">
        <v>130000</v>
      </c>
      <c r="E224" s="24" t="n">
        <f aca="false">ROUND(D224*'⚙️ BEÁLLÍTÁSOK'!B39/100,0)*100</f>
        <v>130000</v>
      </c>
      <c r="F224" s="24" t="n">
        <f aca="false">ROUND(D224*'⚙️ BEÁLLÍTÁSOK'!B40/100,0)*100</f>
        <v>149500</v>
      </c>
      <c r="G224" s="24" t="n">
        <f aca="false">ROUND(D224*'⚙️ BEÁLLÍTÁSOK'!B41/100,0)*100</f>
        <v>140400</v>
      </c>
      <c r="H224" s="24" t="n">
        <f aca="false">ROUND(D224*'⚙️ BEÁLLÍTÁSOK'!B42/100,0)*100</f>
        <v>130000</v>
      </c>
      <c r="I224" s="24" t="n">
        <f aca="false">ROUND(D224*'⚙️ BEÁLLÍTÁSOK'!B43/100,0)*100</f>
        <v>120900</v>
      </c>
      <c r="J224" s="24" t="n">
        <f aca="false">ROUND(D224*'⚙️ BEÁLLÍTÁSOK'!B44/100,0)*100</f>
        <v>162500</v>
      </c>
      <c r="K224" s="25" t="s">
        <v>371</v>
      </c>
    </row>
    <row r="225" customFormat="false" ht="18" hidden="false" customHeight="true" outlineLevel="0" collapsed="false">
      <c r="A225" s="33" t="s">
        <v>372</v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</row>
    <row r="226" customFormat="false" ht="19.5" hidden="false" customHeight="true" outlineLevel="0" collapsed="false">
      <c r="A226" s="20"/>
      <c r="B226" s="21" t="s">
        <v>373</v>
      </c>
      <c r="C226" s="22" t="s">
        <v>101</v>
      </c>
      <c r="D226" s="23" t="n">
        <v>13000</v>
      </c>
      <c r="E226" s="24" t="n">
        <f aca="false">ROUND(D226*'⚙️ BEÁLLÍTÁSOK'!B39/100,0)*100</f>
        <v>13000</v>
      </c>
      <c r="F226" s="24" t="n">
        <f aca="false">ROUND(D226*'⚙️ BEÁLLÍTÁSOK'!B40/100,0)*100</f>
        <v>14900</v>
      </c>
      <c r="G226" s="24" t="n">
        <f aca="false">ROUND(D226*'⚙️ BEÁLLÍTÁSOK'!B41/100,0)*100</f>
        <v>14000</v>
      </c>
      <c r="H226" s="24" t="n">
        <f aca="false">ROUND(D226*'⚙️ BEÁLLÍTÁSOK'!B42/100,0)*100</f>
        <v>13000</v>
      </c>
      <c r="I226" s="24" t="n">
        <f aca="false">ROUND(D226*'⚙️ BEÁLLÍTÁSOK'!B43/100,0)*100</f>
        <v>12100</v>
      </c>
      <c r="J226" s="24" t="n">
        <f aca="false">ROUND(D226*'⚙️ BEÁLLÍTÁSOK'!B44/100,0)*100</f>
        <v>16300</v>
      </c>
      <c r="K226" s="25" t="s">
        <v>374</v>
      </c>
    </row>
    <row r="227" customFormat="false" ht="19.5" hidden="false" customHeight="true" outlineLevel="0" collapsed="false">
      <c r="A227" s="26"/>
      <c r="B227" s="27" t="s">
        <v>375</v>
      </c>
      <c r="C227" s="28" t="s">
        <v>376</v>
      </c>
      <c r="D227" s="23" t="n">
        <v>17000</v>
      </c>
      <c r="E227" s="29" t="n">
        <f aca="false">ROUND(D227*'⚙️ BEÁLLÍTÁSOK'!B39/100,0)*100</f>
        <v>17000</v>
      </c>
      <c r="F227" s="29" t="n">
        <f aca="false">ROUND(D227*'⚙️ BEÁLLÍTÁSOK'!B40/100,0)*100</f>
        <v>19600</v>
      </c>
      <c r="G227" s="29" t="n">
        <f aca="false">ROUND(D227*'⚙️ BEÁLLÍTÁSOK'!B41/100,0)*100</f>
        <v>18400</v>
      </c>
      <c r="H227" s="29" t="n">
        <f aca="false">ROUND(D227*'⚙️ BEÁLLÍTÁSOK'!B42/100,0)*100</f>
        <v>17000</v>
      </c>
      <c r="I227" s="29" t="n">
        <f aca="false">ROUND(D227*'⚙️ BEÁLLÍTÁSOK'!B43/100,0)*100</f>
        <v>15800</v>
      </c>
      <c r="J227" s="29" t="n">
        <f aca="false">ROUND(D227*'⚙️ BEÁLLÍTÁSOK'!B44/100,0)*100</f>
        <v>21300</v>
      </c>
      <c r="K227" s="30"/>
    </row>
    <row r="228" customFormat="false" ht="18" hidden="false" customHeight="true" outlineLevel="0" collapsed="false">
      <c r="A228" s="33" t="s">
        <v>377</v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</row>
    <row r="229" customFormat="false" ht="19.5" hidden="false" customHeight="true" outlineLevel="0" collapsed="false">
      <c r="A229" s="20"/>
      <c r="B229" s="21" t="s">
        <v>378</v>
      </c>
      <c r="C229" s="22" t="s">
        <v>106</v>
      </c>
      <c r="D229" s="31" t="s">
        <v>86</v>
      </c>
      <c r="E229" s="32" t="s">
        <v>87</v>
      </c>
      <c r="F229" s="32" t="s">
        <v>87</v>
      </c>
      <c r="G229" s="32" t="s">
        <v>87</v>
      </c>
      <c r="H229" s="32" t="s">
        <v>87</v>
      </c>
      <c r="I229" s="32" t="s">
        <v>87</v>
      </c>
      <c r="J229" s="32" t="s">
        <v>87</v>
      </c>
      <c r="K229" s="25" t="s">
        <v>379</v>
      </c>
    </row>
    <row r="230" customFormat="false" ht="19.5" hidden="false" customHeight="true" outlineLevel="0" collapsed="false">
      <c r="A230" s="26"/>
      <c r="B230" s="27" t="s">
        <v>380</v>
      </c>
      <c r="C230" s="28" t="s">
        <v>92</v>
      </c>
      <c r="D230" s="23" t="n">
        <v>30000</v>
      </c>
      <c r="E230" s="29" t="n">
        <f aca="false">ROUND(D230*'⚙️ BEÁLLÍTÁSOK'!B39/100,0)*100</f>
        <v>30000</v>
      </c>
      <c r="F230" s="29" t="n">
        <f aca="false">ROUND(D230*'⚙️ BEÁLLÍTÁSOK'!B40/100,0)*100</f>
        <v>34500</v>
      </c>
      <c r="G230" s="29" t="n">
        <f aca="false">ROUND(D230*'⚙️ BEÁLLÍTÁSOK'!B41/100,0)*100</f>
        <v>32400</v>
      </c>
      <c r="H230" s="29" t="n">
        <f aca="false">ROUND(D230*'⚙️ BEÁLLÍTÁSOK'!B42/100,0)*100</f>
        <v>30000</v>
      </c>
      <c r="I230" s="29" t="n">
        <f aca="false">ROUND(D230*'⚙️ BEÁLLÍTÁSOK'!B43/100,0)*100</f>
        <v>27900</v>
      </c>
      <c r="J230" s="29" t="n">
        <f aca="false">ROUND(D230*'⚙️ BEÁLLÍTÁSOK'!B44/100,0)*100</f>
        <v>37500</v>
      </c>
      <c r="K230" s="30" t="s">
        <v>381</v>
      </c>
    </row>
    <row r="231" customFormat="false" ht="19.5" hidden="false" customHeight="true" outlineLevel="0" collapsed="false">
      <c r="A231" s="20"/>
      <c r="B231" s="21" t="s">
        <v>382</v>
      </c>
      <c r="C231" s="22" t="s">
        <v>109</v>
      </c>
      <c r="D231" s="31" t="s">
        <v>86</v>
      </c>
      <c r="E231" s="32" t="s">
        <v>87</v>
      </c>
      <c r="F231" s="32" t="s">
        <v>87</v>
      </c>
      <c r="G231" s="32" t="s">
        <v>87</v>
      </c>
      <c r="H231" s="32" t="s">
        <v>87</v>
      </c>
      <c r="I231" s="32" t="s">
        <v>87</v>
      </c>
      <c r="J231" s="32" t="s">
        <v>87</v>
      </c>
      <c r="K231" s="25" t="s">
        <v>244</v>
      </c>
    </row>
    <row r="232" customFormat="false" ht="21.75" hidden="false" customHeight="true" outlineLevel="0" collapsed="false">
      <c r="A232" s="19" t="s">
        <v>383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</row>
    <row r="233" customFormat="false" ht="12.75" hidden="false" customHeight="true" outlineLevel="0" collapsed="false">
      <c r="A233" s="12" t="s">
        <v>384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</row>
    <row r="234" customFormat="false" ht="19.5" hidden="false" customHeight="true" outlineLevel="0" collapsed="false">
      <c r="A234" s="20"/>
      <c r="B234" s="21" t="s">
        <v>385</v>
      </c>
      <c r="C234" s="22" t="s">
        <v>386</v>
      </c>
      <c r="D234" s="23" t="n">
        <v>110000</v>
      </c>
      <c r="E234" s="24" t="n">
        <f aca="false">ROUND(D234*'⚙️ BEÁLLÍTÁSOK'!B39/100,0)*100</f>
        <v>110000</v>
      </c>
      <c r="F234" s="24" t="n">
        <f aca="false">ROUND(D234*'⚙️ BEÁLLÍTÁSOK'!B40/100,0)*100</f>
        <v>126500</v>
      </c>
      <c r="G234" s="24" t="n">
        <f aca="false">ROUND(D234*'⚙️ BEÁLLÍTÁSOK'!B41/100,0)*100</f>
        <v>118800</v>
      </c>
      <c r="H234" s="24" t="n">
        <f aca="false">ROUND(D234*'⚙️ BEÁLLÍTÁSOK'!B42/100,0)*100</f>
        <v>110000</v>
      </c>
      <c r="I234" s="24" t="n">
        <f aca="false">ROUND(D234*'⚙️ BEÁLLÍTÁSOK'!B43/100,0)*100</f>
        <v>102300</v>
      </c>
      <c r="J234" s="24" t="n">
        <f aca="false">ROUND(D234*'⚙️ BEÁLLÍTÁSOK'!B44/100,0)*100</f>
        <v>137500</v>
      </c>
      <c r="K234" s="25"/>
    </row>
    <row r="235" customFormat="false" ht="19.5" hidden="false" customHeight="true" outlineLevel="0" collapsed="false">
      <c r="A235" s="26"/>
      <c r="B235" s="27" t="s">
        <v>387</v>
      </c>
      <c r="C235" s="28" t="s">
        <v>386</v>
      </c>
      <c r="D235" s="23" t="n">
        <v>135000</v>
      </c>
      <c r="E235" s="29" t="n">
        <f aca="false">ROUND(D235*'⚙️ BEÁLLÍTÁSOK'!B39/100,0)*100</f>
        <v>135000</v>
      </c>
      <c r="F235" s="29" t="n">
        <f aca="false">ROUND(D235*'⚙️ BEÁLLÍTÁSOK'!B40/100,0)*100</f>
        <v>155300</v>
      </c>
      <c r="G235" s="29" t="n">
        <f aca="false">ROUND(D235*'⚙️ BEÁLLÍTÁSOK'!B41/100,0)*100</f>
        <v>145800</v>
      </c>
      <c r="H235" s="29" t="n">
        <f aca="false">ROUND(D235*'⚙️ BEÁLLÍTÁSOK'!B42/100,0)*100</f>
        <v>135000</v>
      </c>
      <c r="I235" s="29" t="n">
        <f aca="false">ROUND(D235*'⚙️ BEÁLLÍTÁSOK'!B43/100,0)*100</f>
        <v>125600</v>
      </c>
      <c r="J235" s="29" t="n">
        <f aca="false">ROUND(D235*'⚙️ BEÁLLÍTÁSOK'!B44/100,0)*100</f>
        <v>168800</v>
      </c>
      <c r="K235" s="30"/>
    </row>
    <row r="236" customFormat="false" ht="19.5" hidden="false" customHeight="true" outlineLevel="0" collapsed="false">
      <c r="A236" s="20"/>
      <c r="B236" s="21" t="s">
        <v>388</v>
      </c>
      <c r="C236" s="22" t="s">
        <v>389</v>
      </c>
      <c r="D236" s="31" t="s">
        <v>86</v>
      </c>
      <c r="E236" s="32" t="s">
        <v>87</v>
      </c>
      <c r="F236" s="32" t="s">
        <v>87</v>
      </c>
      <c r="G236" s="32" t="s">
        <v>87</v>
      </c>
      <c r="H236" s="32" t="s">
        <v>87</v>
      </c>
      <c r="I236" s="32" t="s">
        <v>87</v>
      </c>
      <c r="J236" s="32" t="s">
        <v>87</v>
      </c>
      <c r="K236" s="25" t="s">
        <v>390</v>
      </c>
    </row>
    <row r="237" customFormat="false" ht="19.5" hidden="false" customHeight="true" outlineLevel="0" collapsed="false">
      <c r="A237" s="26"/>
      <c r="B237" s="27" t="s">
        <v>391</v>
      </c>
      <c r="C237" s="28" t="s">
        <v>106</v>
      </c>
      <c r="D237" s="34" t="s">
        <v>86</v>
      </c>
      <c r="E237" s="35" t="s">
        <v>87</v>
      </c>
      <c r="F237" s="35" t="s">
        <v>87</v>
      </c>
      <c r="G237" s="35" t="s">
        <v>87</v>
      </c>
      <c r="H237" s="35" t="s">
        <v>87</v>
      </c>
      <c r="I237" s="35" t="s">
        <v>87</v>
      </c>
      <c r="J237" s="35" t="s">
        <v>87</v>
      </c>
      <c r="K237" s="30" t="s">
        <v>392</v>
      </c>
    </row>
    <row r="238" customFormat="false" ht="19.5" hidden="false" customHeight="true" outlineLevel="0" collapsed="false">
      <c r="A238" s="20"/>
      <c r="B238" s="21" t="s">
        <v>393</v>
      </c>
      <c r="C238" s="22" t="s">
        <v>109</v>
      </c>
      <c r="D238" s="23" t="n">
        <v>60000</v>
      </c>
      <c r="E238" s="24" t="n">
        <f aca="false">ROUND(D238*'⚙️ BEÁLLÍTÁSOK'!B39/100,0)*100</f>
        <v>60000</v>
      </c>
      <c r="F238" s="24" t="n">
        <f aca="false">ROUND(D238*'⚙️ BEÁLLÍTÁSOK'!B40/100,0)*100</f>
        <v>69000</v>
      </c>
      <c r="G238" s="24" t="n">
        <f aca="false">ROUND(D238*'⚙️ BEÁLLÍTÁSOK'!B41/100,0)*100</f>
        <v>64800</v>
      </c>
      <c r="H238" s="24" t="n">
        <f aca="false">ROUND(D238*'⚙️ BEÁLLÍTÁSOK'!B42/100,0)*100</f>
        <v>60000</v>
      </c>
      <c r="I238" s="24" t="n">
        <f aca="false">ROUND(D238*'⚙️ BEÁLLÍTÁSOK'!B43/100,0)*100</f>
        <v>55800</v>
      </c>
      <c r="J238" s="24" t="n">
        <f aca="false">ROUND(D238*'⚙️ BEÁLLÍTÁSOK'!B44/100,0)*100</f>
        <v>75000</v>
      </c>
      <c r="K238" s="25"/>
    </row>
    <row r="239" customFormat="false" ht="19.5" hidden="false" customHeight="true" outlineLevel="0" collapsed="false">
      <c r="A239" s="26"/>
      <c r="B239" s="27" t="s">
        <v>394</v>
      </c>
      <c r="C239" s="28" t="s">
        <v>109</v>
      </c>
      <c r="D239" s="23" t="n">
        <v>48000</v>
      </c>
      <c r="E239" s="29" t="n">
        <f aca="false">ROUND(D239*'⚙️ BEÁLLÍTÁSOK'!B39/100,0)*100</f>
        <v>48000</v>
      </c>
      <c r="F239" s="29" t="n">
        <f aca="false">ROUND(D239*'⚙️ BEÁLLÍTÁSOK'!B40/100,0)*100</f>
        <v>55200</v>
      </c>
      <c r="G239" s="29" t="n">
        <f aca="false">ROUND(D239*'⚙️ BEÁLLÍTÁSOK'!B41/100,0)*100</f>
        <v>51800</v>
      </c>
      <c r="H239" s="29" t="n">
        <f aca="false">ROUND(D239*'⚙️ BEÁLLÍTÁSOK'!B42/100,0)*100</f>
        <v>48000</v>
      </c>
      <c r="I239" s="29" t="n">
        <f aca="false">ROUND(D239*'⚙️ BEÁLLÍTÁSOK'!B43/100,0)*100</f>
        <v>44600</v>
      </c>
      <c r="J239" s="29" t="n">
        <f aca="false">ROUND(D239*'⚙️ BEÁLLÍTÁSOK'!B44/100,0)*100</f>
        <v>60000</v>
      </c>
      <c r="K239" s="30"/>
    </row>
    <row r="240" customFormat="false" ht="18" hidden="false" customHeight="true" outlineLevel="0" collapsed="false">
      <c r="A240" s="37" t="s">
        <v>395</v>
      </c>
      <c r="B240" s="37"/>
      <c r="C240" s="37"/>
      <c r="D240" s="37"/>
      <c r="E240" s="37"/>
      <c r="F240" s="37"/>
      <c r="G240" s="37"/>
      <c r="H240" s="37"/>
      <c r="I240" s="37"/>
      <c r="J240" s="37"/>
      <c r="K240" s="37"/>
    </row>
  </sheetData>
  <mergeCells count="51">
    <mergeCell ref="A1:K1"/>
    <mergeCell ref="A2:K2"/>
    <mergeCell ref="A5:K5"/>
    <mergeCell ref="A6:K6"/>
    <mergeCell ref="A15:K15"/>
    <mergeCell ref="A28:K28"/>
    <mergeCell ref="A36:K36"/>
    <mergeCell ref="A45:K45"/>
    <mergeCell ref="A50:K50"/>
    <mergeCell ref="A51:K51"/>
    <mergeCell ref="A57:K57"/>
    <mergeCell ref="A64:K64"/>
    <mergeCell ref="A72:K72"/>
    <mergeCell ref="A76:K76"/>
    <mergeCell ref="A77:K77"/>
    <mergeCell ref="A78:K78"/>
    <mergeCell ref="A85:K85"/>
    <mergeCell ref="A95:K95"/>
    <mergeCell ref="A100:K100"/>
    <mergeCell ref="A101:K101"/>
    <mergeCell ref="A102:K102"/>
    <mergeCell ref="A108:K108"/>
    <mergeCell ref="A118:K118"/>
    <mergeCell ref="A127:K127"/>
    <mergeCell ref="A128:K128"/>
    <mergeCell ref="A136:K136"/>
    <mergeCell ref="A137:K137"/>
    <mergeCell ref="A138:K138"/>
    <mergeCell ref="A147:K147"/>
    <mergeCell ref="A148:K148"/>
    <mergeCell ref="A154:K154"/>
    <mergeCell ref="A162:K162"/>
    <mergeCell ref="A163:K163"/>
    <mergeCell ref="A169:K169"/>
    <mergeCell ref="A174:K174"/>
    <mergeCell ref="A175:K175"/>
    <mergeCell ref="A176:K176"/>
    <mergeCell ref="A186:K186"/>
    <mergeCell ref="A187:K187"/>
    <mergeCell ref="A195:K195"/>
    <mergeCell ref="A196:K196"/>
    <mergeCell ref="A205:K205"/>
    <mergeCell ref="A206:K206"/>
    <mergeCell ref="A207:K207"/>
    <mergeCell ref="A212:K212"/>
    <mergeCell ref="A219:K219"/>
    <mergeCell ref="A225:K225"/>
    <mergeCell ref="A228:K228"/>
    <mergeCell ref="A232:K232"/>
    <mergeCell ref="A233:K233"/>
    <mergeCell ref="A240:K2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5" activeCellId="0" sqref="A1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12"/>
    <col collapsed="false" customWidth="true" hidden="false" outlineLevel="0" max="3" min="3" style="0" width="12.42"/>
    <col collapsed="false" customWidth="true" hidden="false" outlineLevel="0" max="5" min="4" style="0" width="12"/>
    <col collapsed="false" customWidth="true" hidden="false" outlineLevel="0" max="6" min="6" style="0" width="22.29"/>
  </cols>
  <sheetData>
    <row r="1" customFormat="false" ht="16.5" hidden="false" customHeight="true" outlineLevel="0" collapsed="false">
      <c r="A1" s="1" t="s">
        <v>396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397</v>
      </c>
      <c r="B2" s="2"/>
      <c r="C2" s="2"/>
      <c r="D2" s="2"/>
      <c r="E2" s="2"/>
      <c r="F2" s="2"/>
    </row>
    <row r="3" customFormat="false" ht="38.25" hidden="false" customHeight="true" outlineLevel="0" collapsed="false">
      <c r="A3" s="38" t="s">
        <v>398</v>
      </c>
      <c r="B3" s="38" t="s">
        <v>399</v>
      </c>
      <c r="C3" s="38" t="s">
        <v>400</v>
      </c>
      <c r="D3" s="38" t="s">
        <v>401</v>
      </c>
      <c r="E3" s="38" t="s">
        <v>402</v>
      </c>
      <c r="F3" s="38" t="s">
        <v>403</v>
      </c>
    </row>
    <row r="4" customFormat="false" ht="15" hidden="false" customHeight="false" outlineLevel="0" collapsed="false">
      <c r="A4" s="17" t="s">
        <v>75</v>
      </c>
      <c r="B4" s="18" t="n">
        <f aca="false">'⚙️ BEÁLLÍTÁSOK'!B41</f>
        <v>1.08</v>
      </c>
      <c r="C4" s="18" t="n">
        <f aca="false">'⚙️ BEÁLLÍTÁSOK'!B42</f>
        <v>1</v>
      </c>
      <c r="D4" s="18" t="n">
        <f aca="false">'⚙️ BEÁLLÍTÁSOK'!B43</f>
        <v>0.93</v>
      </c>
      <c r="E4" s="18" t="n">
        <f aca="false">'⚙️ BEÁLLÍTÁSOK'!B40</f>
        <v>1.15</v>
      </c>
      <c r="F4" s="17"/>
    </row>
    <row r="5" customFormat="false" ht="15" hidden="false" customHeight="false" outlineLevel="0" collapsed="false">
      <c r="A5" s="39" t="s">
        <v>404</v>
      </c>
      <c r="B5" s="39"/>
      <c r="C5" s="39"/>
      <c r="D5" s="39"/>
      <c r="E5" s="39"/>
      <c r="F5" s="39"/>
    </row>
    <row r="6" customFormat="false" ht="24" hidden="false" customHeight="true" outlineLevel="0" collapsed="false">
      <c r="A6" s="12" t="s">
        <v>405</v>
      </c>
      <c r="B6" s="12"/>
      <c r="C6" s="12"/>
      <c r="D6" s="12"/>
      <c r="E6" s="12"/>
      <c r="F6" s="12"/>
    </row>
    <row r="7" customFormat="false" ht="45" hidden="false" customHeight="true" outlineLevel="0" collapsed="false">
      <c r="A7" s="40" t="s">
        <v>406</v>
      </c>
      <c r="B7" s="41" t="n">
        <f aca="false">ROUND('⚙️ BEÁLLÍTÁSOK'!B26*'⚙️ BEÁLLÍTÁSOK'!B41/'⚙️ BEÁLLÍTÁSOK'!B42/100,0)*100</f>
        <v>12400</v>
      </c>
      <c r="C7" s="42" t="n">
        <f aca="false">ROUND('⚙️ BEÁLLÍTÁSOK'!B26*'⚙️ BEÁLLÍTÁSOK'!B42/100,0)*100</f>
        <v>11500</v>
      </c>
      <c r="D7" s="41" t="n">
        <f aca="false">ROUND('⚙️ BEÁLLÍTÁSOK'!B26*'⚙️ BEÁLLÍTÁSOK'!B43/100,0)*100</f>
        <v>10700</v>
      </c>
      <c r="E7" s="43" t="n">
        <f aca="false">ROUND('⚙️ BEÁLLÍTÁSOK'!B26*'⚙️ BEÁLLÍTÁSOK'!B40/100,0)*100</f>
        <v>13200</v>
      </c>
      <c r="F7" s="25" t="s">
        <v>407</v>
      </c>
    </row>
    <row r="8" customFormat="false" ht="25.5" hidden="false" customHeight="true" outlineLevel="0" collapsed="false">
      <c r="A8" s="44" t="s">
        <v>408</v>
      </c>
      <c r="B8" s="45" t="n">
        <f aca="false">ROUND('⚙️ BEÁLLÍTÁSOK'!B27*'⚙️ BEÁLLÍTÁSOK'!B41/'⚙️ BEÁLLÍTÁSOK'!B42/100,0)*100</f>
        <v>19000</v>
      </c>
      <c r="C8" s="42" t="n">
        <f aca="false">ROUND('⚙️ BEÁLLÍTÁSOK'!B27*'⚙️ BEÁLLÍTÁSOK'!B42/100,0)*100</f>
        <v>17600</v>
      </c>
      <c r="D8" s="45" t="n">
        <f aca="false">ROUND('⚙️ BEÁLLÍTÁSOK'!B27*'⚙️ BEÁLLÍTÁSOK'!B43/100,0)*100</f>
        <v>16300</v>
      </c>
      <c r="E8" s="43" t="n">
        <f aca="false">ROUND('⚙️ BEÁLLÍTÁSOK'!B27*'⚙️ BEÁLLÍTÁSOK'!B40/100,0)*100</f>
        <v>20200</v>
      </c>
      <c r="F8" s="30" t="s">
        <v>409</v>
      </c>
    </row>
    <row r="9" customFormat="false" ht="38.25" hidden="false" customHeight="true" outlineLevel="0" collapsed="false">
      <c r="A9" s="40" t="s">
        <v>410</v>
      </c>
      <c r="B9" s="41" t="n">
        <f aca="false">ROUND('⚙️ BEÁLLÍTÁSOK'!B28*'⚙️ BEÁLLÍTÁSOK'!B41/'⚙️ BEÁLLÍTÁSOK'!B42/100,0)*100</f>
        <v>13600</v>
      </c>
      <c r="C9" s="42" t="n">
        <f aca="false">ROUND('⚙️ BEÁLLÍTÁSOK'!B28*'⚙️ BEÁLLÍTÁSOK'!B42/100,0)*100</f>
        <v>12600</v>
      </c>
      <c r="D9" s="41" t="n">
        <f aca="false">ROUND('⚙️ BEÁLLÍTÁSOK'!B28*'⚙️ BEÁLLÍTÁSOK'!B43/100,0)*100</f>
        <v>11700</v>
      </c>
      <c r="E9" s="43" t="n">
        <f aca="false">ROUND('⚙️ BEÁLLÍTÁSOK'!B28*'⚙️ BEÁLLÍTÁSOK'!B40/100,0)*100</f>
        <v>14500</v>
      </c>
      <c r="F9" s="25" t="s">
        <v>411</v>
      </c>
    </row>
    <row r="10" customFormat="false" ht="25.5" hidden="false" customHeight="true" outlineLevel="0" collapsed="false">
      <c r="A10" s="44" t="s">
        <v>412</v>
      </c>
      <c r="B10" s="45" t="n">
        <f aca="false">ROUND('⚙️ BEÁLLÍTÁSOK'!B30*'⚙️ BEÁLLÍTÁSOK'!B41/'⚙️ BEÁLLÍTÁSOK'!B42/100,0)*100</f>
        <v>12400</v>
      </c>
      <c r="C10" s="42" t="n">
        <f aca="false">ROUND('⚙️ BEÁLLÍTÁSOK'!B30*'⚙️ BEÁLLÍTÁSOK'!B42/100,0)*100</f>
        <v>11500</v>
      </c>
      <c r="D10" s="45" t="n">
        <f aca="false">ROUND('⚙️ BEÁLLÍTÁSOK'!B30*'⚙️ BEÁLLÍTÁSOK'!B43/100,0)*100</f>
        <v>10700</v>
      </c>
      <c r="E10" s="43" t="n">
        <f aca="false">ROUND('⚙️ BEÁLLÍTÁSOK'!B30*'⚙️ BEÁLLÍTÁSOK'!B40/100,0)*100</f>
        <v>13200</v>
      </c>
      <c r="F10" s="30" t="s">
        <v>413</v>
      </c>
    </row>
    <row r="11" customFormat="false" ht="38.25" hidden="false" customHeight="true" outlineLevel="0" collapsed="false">
      <c r="A11" s="40" t="s">
        <v>414</v>
      </c>
      <c r="B11" s="41" t="n">
        <f aca="false">ROUND('⚙️ BEÁLLÍTÁSOK'!B32*'⚙️ BEÁLLÍTÁSOK'!B41/'⚙️ BEÁLLÍTÁSOK'!B42/100,0)*100</f>
        <v>12000</v>
      </c>
      <c r="C11" s="42" t="n">
        <f aca="false">ROUND('⚙️ BEÁLLÍTÁSOK'!B32*'⚙️ BEÁLLÍTÁSOK'!B42/100,0)*100</f>
        <v>11100</v>
      </c>
      <c r="D11" s="41" t="n">
        <f aca="false">ROUND('⚙️ BEÁLLÍTÁSOK'!B32*'⚙️ BEÁLLÍTÁSOK'!B43/100,0)*100</f>
        <v>10300</v>
      </c>
      <c r="E11" s="43" t="n">
        <f aca="false">ROUND('⚙️ BEÁLLÍTÁSOK'!B32*'⚙️ BEÁLLÍTÁSOK'!B40/100,0)*100</f>
        <v>12800</v>
      </c>
      <c r="F11" s="25" t="s">
        <v>415</v>
      </c>
    </row>
    <row r="12" customFormat="false" ht="25.5" hidden="false" customHeight="true" outlineLevel="0" collapsed="false">
      <c r="A12" s="44" t="s">
        <v>416</v>
      </c>
      <c r="B12" s="45" t="n">
        <f aca="false">ROUND('⚙️ BEÁLLÍTÁSOK'!B33*'⚙️ BEÁLLÍTÁSOK'!B41/'⚙️ BEÁLLÍTÁSOK'!B42/100,0)*100</f>
        <v>14000</v>
      </c>
      <c r="C12" s="42" t="n">
        <f aca="false">ROUND('⚙️ BEÁLLÍTÁSOK'!B33*'⚙️ BEÁLLÍTÁSOK'!B42/100,0)*100</f>
        <v>13000</v>
      </c>
      <c r="D12" s="45" t="n">
        <f aca="false">ROUND('⚙️ BEÁLLÍTÁSOK'!B33*'⚙️ BEÁLLÍTÁSOK'!B43/100,0)*100</f>
        <v>12000</v>
      </c>
      <c r="E12" s="43" t="n">
        <f aca="false">ROUND('⚙️ BEÁLLÍTÁSOK'!B33*'⚙️ BEÁLLÍTÁSOK'!B40/100,0)*100</f>
        <v>14900</v>
      </c>
      <c r="F12" s="30" t="s">
        <v>417</v>
      </c>
    </row>
    <row r="14" customFormat="false" ht="15" hidden="false" customHeight="false" outlineLevel="0" collapsed="false">
      <c r="A14" s="46" t="s">
        <v>418</v>
      </c>
      <c r="B14" s="46"/>
      <c r="C14" s="46"/>
      <c r="D14" s="46"/>
      <c r="E14" s="46"/>
      <c r="F14" s="46"/>
    </row>
    <row r="15" customFormat="false" ht="22.5" hidden="false" customHeight="true" outlineLevel="0" collapsed="false">
      <c r="A15" s="12" t="s">
        <v>419</v>
      </c>
      <c r="B15" s="12"/>
      <c r="C15" s="12"/>
      <c r="D15" s="12"/>
      <c r="E15" s="12"/>
      <c r="F15" s="12"/>
    </row>
    <row r="16" customFormat="false" ht="33.75" hidden="false" customHeight="true" outlineLevel="0" collapsed="false">
      <c r="A16" s="40" t="s">
        <v>420</v>
      </c>
      <c r="B16" s="41" t="n">
        <f aca="false">ROUND('⚙️ BEÁLLÍTÁSOK'!B26*'⚙️ BEÁLLÍTÁSOK'!B41/'⚙️ BEÁLLÍTÁSOK'!B42/100,0)*100</f>
        <v>12400</v>
      </c>
      <c r="C16" s="42" t="n">
        <f aca="false">ROUND('⚙️ BEÁLLÍTÁSOK'!B26*'⚙️ BEÁLLÍTÁSOK'!B42/100,0)*100</f>
        <v>11500</v>
      </c>
      <c r="D16" s="41" t="n">
        <f aca="false">ROUND('⚙️ BEÁLLÍTÁSOK'!B26*'⚙️ BEÁLLÍTÁSOK'!B43/100,0)*100</f>
        <v>10700</v>
      </c>
      <c r="E16" s="43" t="n">
        <f aca="false">ROUND('⚙️ BEÁLLÍTÁSOK'!B26*'⚙️ BEÁLLÍTÁSOK'!B40/100,0)*100</f>
        <v>13200</v>
      </c>
      <c r="F16" s="25" t="s">
        <v>421</v>
      </c>
    </row>
    <row r="17" customFormat="false" ht="25.5" hidden="false" customHeight="true" outlineLevel="0" collapsed="false">
      <c r="A17" s="44" t="s">
        <v>422</v>
      </c>
      <c r="B17" s="45" t="n">
        <f aca="false">ROUND('⚙️ BEÁLLÍTÁSOK'!B27*'⚙️ BEÁLLÍTÁSOK'!B41/'⚙️ BEÁLLÍTÁSOK'!B42/100,0)*100</f>
        <v>19000</v>
      </c>
      <c r="C17" s="42" t="n">
        <f aca="false">ROUND('⚙️ BEÁLLÍTÁSOK'!B27*'⚙️ BEÁLLÍTÁSOK'!B42/100,0)*100</f>
        <v>17600</v>
      </c>
      <c r="D17" s="45" t="n">
        <f aca="false">ROUND('⚙️ BEÁLLÍTÁSOK'!B27*'⚙️ BEÁLLÍTÁSOK'!B43/100,0)*100</f>
        <v>16300</v>
      </c>
      <c r="E17" s="43" t="n">
        <f aca="false">ROUND('⚙️ BEÁLLÍTÁSOK'!B27*'⚙️ BEÁLLÍTÁSOK'!B40/100,0)*100</f>
        <v>20200</v>
      </c>
      <c r="F17" s="30"/>
    </row>
    <row r="18" customFormat="false" ht="25.5" hidden="false" customHeight="true" outlineLevel="0" collapsed="false">
      <c r="A18" s="40" t="s">
        <v>423</v>
      </c>
      <c r="B18" s="41" t="n">
        <f aca="false">ROUND('⚙️ BEÁLLÍTÁSOK'!B28*'⚙️ BEÁLLÍTÁSOK'!B41/'⚙️ BEÁLLÍTÁSOK'!B42/100,0)*100</f>
        <v>13600</v>
      </c>
      <c r="C18" s="42" t="n">
        <f aca="false">ROUND('⚙️ BEÁLLÍTÁSOK'!B28*'⚙️ BEÁLLÍTÁSOK'!B42/100,0)*100</f>
        <v>12600</v>
      </c>
      <c r="D18" s="41" t="n">
        <f aca="false">ROUND('⚙️ BEÁLLÍTÁSOK'!B28*'⚙️ BEÁLLÍTÁSOK'!B43/100,0)*100</f>
        <v>11700</v>
      </c>
      <c r="E18" s="43" t="n">
        <f aca="false">ROUND('⚙️ BEÁLLÍTÁSOK'!B28*'⚙️ BEÁLLÍTÁSOK'!B40/100,0)*100</f>
        <v>14500</v>
      </c>
      <c r="F18" s="25"/>
    </row>
    <row r="19" customFormat="false" ht="25.5" hidden="false" customHeight="true" outlineLevel="0" collapsed="false">
      <c r="A19" s="44" t="s">
        <v>424</v>
      </c>
      <c r="B19" s="45" t="n">
        <f aca="false">ROUND('⚙️ BEÁLLÍTÁSOK'!B29*'⚙️ BEÁLLÍTÁSOK'!B41/'⚙️ BEÁLLÍTÁSOK'!B42/100,0)*100</f>
        <v>15000</v>
      </c>
      <c r="C19" s="42" t="n">
        <f aca="false">ROUND('⚙️ BEÁLLÍTÁSOK'!B29*'⚙️ BEÁLLÍTÁSOK'!B42/100,0)*100</f>
        <v>13900</v>
      </c>
      <c r="D19" s="45" t="n">
        <f aca="false">ROUND('⚙️ BEÁLLÍTÁSOK'!B29*'⚙️ BEÁLLÍTÁSOK'!B43/100,0)*100</f>
        <v>12900</v>
      </c>
      <c r="E19" s="43" t="n">
        <f aca="false">ROUND('⚙️ BEÁLLÍTÁSOK'!B29*'⚙️ BEÁLLÍTÁSOK'!B40/100,0)*100</f>
        <v>16000</v>
      </c>
      <c r="F19" s="30"/>
    </row>
    <row r="20" customFormat="false" ht="25.5" hidden="false" customHeight="true" outlineLevel="0" collapsed="false">
      <c r="A20" s="40" t="s">
        <v>425</v>
      </c>
      <c r="B20" s="41" t="n">
        <f aca="false">ROUND('⚙️ BEÁLLÍTÁSOK'!B30*'⚙️ BEÁLLÍTÁSOK'!B41/'⚙️ BEÁLLÍTÁSOK'!B42/100,0)*100</f>
        <v>12400</v>
      </c>
      <c r="C20" s="42" t="n">
        <f aca="false">ROUND('⚙️ BEÁLLÍTÁSOK'!B30*'⚙️ BEÁLLÍTÁSOK'!B42/100,0)*100</f>
        <v>11500</v>
      </c>
      <c r="D20" s="41" t="n">
        <f aca="false">ROUND('⚙️ BEÁLLÍTÁSOK'!B30*'⚙️ BEÁLLÍTÁSOK'!B43/100,0)*100</f>
        <v>10700</v>
      </c>
      <c r="E20" s="43" t="n">
        <f aca="false">ROUND('⚙️ BEÁLLÍTÁSOK'!B30*'⚙️ BEÁLLÍTÁSOK'!B40/100,0)*100</f>
        <v>13200</v>
      </c>
      <c r="F20" s="25"/>
    </row>
    <row r="21" customFormat="false" ht="25.5" hidden="false" customHeight="true" outlineLevel="0" collapsed="false">
      <c r="A21" s="44" t="s">
        <v>426</v>
      </c>
      <c r="B21" s="45" t="n">
        <f aca="false">ROUND('⚙️ BEÁLLÍTÁSOK'!B31*'⚙️ BEÁLLÍTÁSOK'!B41/'⚙️ BEÁLLÍTÁSOK'!B42/100,0)*100</f>
        <v>16400</v>
      </c>
      <c r="C21" s="42" t="n">
        <f aca="false">ROUND('⚙️ BEÁLLÍTÁSOK'!B31*'⚙️ BEÁLLÍTÁSOK'!B42/100,0)*100</f>
        <v>15200</v>
      </c>
      <c r="D21" s="45" t="n">
        <f aca="false">ROUND('⚙️ BEÁLLÍTÁSOK'!B31*'⚙️ BEÁLLÍTÁSOK'!B43/100,0)*100</f>
        <v>14100</v>
      </c>
      <c r="E21" s="43" t="n">
        <f aca="false">ROUND('⚙️ BEÁLLÍTÁSOK'!B31*'⚙️ BEÁLLÍTÁSOK'!B40/100,0)*100</f>
        <v>17400</v>
      </c>
      <c r="F21" s="30"/>
    </row>
    <row r="22" customFormat="false" ht="25.5" hidden="false" customHeight="true" outlineLevel="0" collapsed="false">
      <c r="A22" s="40" t="s">
        <v>427</v>
      </c>
      <c r="B22" s="41" t="n">
        <f aca="false">ROUND('⚙️ BEÁLLÍTÁSOK'!B32*'⚙️ BEÁLLÍTÁSOK'!B41/'⚙️ BEÁLLÍTÁSOK'!B42/100,0)*100</f>
        <v>12000</v>
      </c>
      <c r="C22" s="42" t="n">
        <f aca="false">ROUND('⚙️ BEÁLLÍTÁSOK'!B32*'⚙️ BEÁLLÍTÁSOK'!B42/100,0)*100</f>
        <v>11100</v>
      </c>
      <c r="D22" s="41" t="n">
        <f aca="false">ROUND('⚙️ BEÁLLÍTÁSOK'!B32*'⚙️ BEÁLLÍTÁSOK'!B43/100,0)*100</f>
        <v>10300</v>
      </c>
      <c r="E22" s="43" t="n">
        <f aca="false">ROUND('⚙️ BEÁLLÍTÁSOK'!B32*'⚙️ BEÁLLÍTÁSOK'!B40/100,0)*100</f>
        <v>12800</v>
      </c>
      <c r="F22" s="25"/>
    </row>
    <row r="23" customFormat="false" ht="25.5" hidden="false" customHeight="true" outlineLevel="0" collapsed="false">
      <c r="A23" s="44" t="s">
        <v>428</v>
      </c>
      <c r="B23" s="45" t="n">
        <f aca="false">ROUND('⚙️ BEÁLLÍTÁSOK'!B34*'⚙️ BEÁLLÍTÁSOK'!B41/'⚙️ BEÁLLÍTÁSOK'!B42/100,0)*100</f>
        <v>17000</v>
      </c>
      <c r="C23" s="42" t="n">
        <f aca="false">ROUND('⚙️ BEÁLLÍTÁSOK'!B34*'⚙️ BEÁLLÍTÁSOK'!B42/100,0)*100</f>
        <v>15700</v>
      </c>
      <c r="D23" s="45" t="n">
        <f aca="false">ROUND('⚙️ BEÁLLÍTÁSOK'!B34*'⚙️ BEÁLLÍTÁSOK'!B43/100,0)*100</f>
        <v>14600</v>
      </c>
      <c r="E23" s="43" t="n">
        <f aca="false">ROUND('⚙️ BEÁLLÍTÁSOK'!B34*'⚙️ BEÁLLÍTÁSOK'!B40/100,0)*100</f>
        <v>18100</v>
      </c>
      <c r="F23" s="30" t="s">
        <v>429</v>
      </c>
    </row>
    <row r="24" customFormat="false" ht="25.5" hidden="false" customHeight="true" outlineLevel="0" collapsed="false">
      <c r="A24" s="40" t="s">
        <v>430</v>
      </c>
      <c r="B24" s="41" t="n">
        <f aca="false">ROUND('⚙️ BEÁLLÍTÁSOK'!B35*'⚙️ BEÁLLÍTÁSOK'!B41/'⚙️ BEÁLLÍTÁSOK'!B42/100,0)*100</f>
        <v>23000</v>
      </c>
      <c r="C24" s="42" t="n">
        <f aca="false">ROUND('⚙️ BEÁLLÍTÁSOK'!B35*'⚙️ BEÁLLÍTÁSOK'!B42/100,0)*100</f>
        <v>21300</v>
      </c>
      <c r="D24" s="41" t="n">
        <f aca="false">ROUND('⚙️ BEÁLLÍTÁSOK'!B35*'⚙️ BEÁLLÍTÁSOK'!B43/100,0)*100</f>
        <v>19800</v>
      </c>
      <c r="E24" s="43" t="n">
        <f aca="false">ROUND('⚙️ BEÁLLÍTÁSOK'!B35*'⚙️ BEÁLLÍTÁSOK'!B40/100,0)*100</f>
        <v>24500</v>
      </c>
      <c r="F24" s="25" t="s">
        <v>431</v>
      </c>
    </row>
    <row r="26" customFormat="false" ht="19.4" hidden="false" customHeight="true" outlineLevel="0" collapsed="false">
      <c r="A26" s="47" t="s">
        <v>432</v>
      </c>
      <c r="B26" s="47"/>
      <c r="C26" s="47"/>
      <c r="D26" s="47"/>
      <c r="E26" s="47"/>
      <c r="F26" s="47"/>
    </row>
  </sheetData>
  <mergeCells count="7">
    <mergeCell ref="A1:F1"/>
    <mergeCell ref="A2:F2"/>
    <mergeCell ref="A5:F5"/>
    <mergeCell ref="A6:F6"/>
    <mergeCell ref="A14:F14"/>
    <mergeCell ref="A15:F1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" t="s">
        <v>433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434</v>
      </c>
      <c r="B2" s="2"/>
      <c r="C2" s="2"/>
      <c r="D2" s="2"/>
      <c r="E2" s="2"/>
      <c r="F2" s="2"/>
      <c r="G2" s="2"/>
    </row>
    <row r="3" customFormat="false" ht="39.75" hidden="false" customHeight="true" outlineLevel="0" collapsed="false">
      <c r="A3" s="16" t="s">
        <v>435</v>
      </c>
      <c r="B3" s="16" t="s">
        <v>436</v>
      </c>
      <c r="C3" s="16" t="s">
        <v>437</v>
      </c>
      <c r="D3" s="16" t="s">
        <v>438</v>
      </c>
      <c r="E3" s="16" t="s">
        <v>439</v>
      </c>
      <c r="F3" s="16" t="s">
        <v>440</v>
      </c>
      <c r="G3" s="16" t="s">
        <v>441</v>
      </c>
    </row>
    <row r="4" customFormat="false" ht="15.75" hidden="false" customHeight="true" outlineLevel="0" collapsed="false">
      <c r="A4" s="17" t="s">
        <v>75</v>
      </c>
      <c r="B4" s="18" t="n">
        <f aca="false">'⚙️ BEÁLLÍTÁSOK'!B40</f>
        <v>1.15</v>
      </c>
      <c r="C4" s="18" t="n">
        <f aca="false">'⚙️ BEÁLLÍTÁSOK'!B41</f>
        <v>1.08</v>
      </c>
      <c r="D4" s="18" t="n">
        <f aca="false">'⚙️ BEÁLLÍTÁSOK'!B42</f>
        <v>1</v>
      </c>
      <c r="E4" s="18" t="n">
        <f aca="false">'⚙️ BEÁLLÍTÁSOK'!B43</f>
        <v>0.93</v>
      </c>
      <c r="F4" s="17"/>
      <c r="G4" s="17"/>
    </row>
    <row r="5" customFormat="false" ht="21.75" hidden="false" customHeight="true" outlineLevel="0" collapsed="false">
      <c r="A5" s="19" t="s">
        <v>442</v>
      </c>
      <c r="B5" s="19"/>
      <c r="C5" s="19"/>
      <c r="D5" s="19"/>
      <c r="E5" s="19"/>
      <c r="F5" s="19"/>
      <c r="G5" s="19"/>
    </row>
    <row r="6" customFormat="false" ht="21.75" hidden="false" customHeight="true" outlineLevel="0" collapsed="false">
      <c r="A6" s="21" t="s">
        <v>443</v>
      </c>
      <c r="B6" s="48" t="n">
        <f aca="false">ROUND(D6*'⚙️ BEÁLLÍTÁSOK'!B40/100,0)*100</f>
        <v>27600</v>
      </c>
      <c r="C6" s="48" t="n">
        <f aca="false">ROUND(D6*'⚙️ BEÁLLÍTÁSOK'!B41/100,0)*100</f>
        <v>25900</v>
      </c>
      <c r="D6" s="49" t="n">
        <v>24000</v>
      </c>
      <c r="E6" s="48" t="n">
        <f aca="false">ROUND(D6*'⚙️ BEÁLLÍTÁSOK'!B43/100,0)*100</f>
        <v>22300</v>
      </c>
      <c r="F6" s="50" t="n">
        <f aca="false">ROUND((B6-E6)*12,0)</f>
        <v>63600</v>
      </c>
      <c r="G6" s="51" t="s">
        <v>444</v>
      </c>
    </row>
    <row r="7" customFormat="false" ht="21.75" hidden="false" customHeight="true" outlineLevel="0" collapsed="false">
      <c r="A7" s="27" t="s">
        <v>445</v>
      </c>
      <c r="B7" s="52" t="n">
        <f aca="false">ROUND(D7*'⚙️ BEÁLLÍTÁSOK'!B40/100,0)*100</f>
        <v>59800</v>
      </c>
      <c r="C7" s="52" t="n">
        <f aca="false">ROUND(D7*'⚙️ BEÁLLÍTÁSOK'!B41/100,0)*100</f>
        <v>56200</v>
      </c>
      <c r="D7" s="49" t="n">
        <v>52000</v>
      </c>
      <c r="E7" s="52" t="n">
        <f aca="false">ROUND(D7*'⚙️ BEÁLLÍTÁSOK'!B43/100,0)*100</f>
        <v>48400</v>
      </c>
      <c r="F7" s="53" t="n">
        <f aca="false">ROUND((B7-E7)*12,0)</f>
        <v>136800</v>
      </c>
      <c r="G7" s="54" t="s">
        <v>446</v>
      </c>
    </row>
    <row r="8" customFormat="false" ht="21.75" hidden="false" customHeight="true" outlineLevel="0" collapsed="false">
      <c r="A8" s="21" t="s">
        <v>447</v>
      </c>
      <c r="B8" s="48" t="n">
        <f aca="false">ROUND(D8*'⚙️ BEÁLLÍTÁSOK'!B40/100,0)*100</f>
        <v>112700</v>
      </c>
      <c r="C8" s="48" t="n">
        <f aca="false">ROUND(D8*'⚙️ BEÁLLÍTÁSOK'!B41/100,0)*100</f>
        <v>105800</v>
      </c>
      <c r="D8" s="49" t="n">
        <v>98000</v>
      </c>
      <c r="E8" s="48" t="n">
        <f aca="false">ROUND(D8*'⚙️ BEÁLLÍTÁSOK'!B43/100,0)*100</f>
        <v>91100</v>
      </c>
      <c r="F8" s="50" t="n">
        <f aca="false">ROUND((B8-E8)*12,0)</f>
        <v>259200</v>
      </c>
      <c r="G8" s="51"/>
    </row>
    <row r="9" customFormat="false" ht="21.75" hidden="false" customHeight="true" outlineLevel="0" collapsed="false">
      <c r="A9" s="27" t="s">
        <v>448</v>
      </c>
      <c r="B9" s="52" t="n">
        <f aca="false">ROUND(D9*'⚙️ BEÁLLÍTÁSOK'!B40/100,0)*100</f>
        <v>201200</v>
      </c>
      <c r="C9" s="52" t="n">
        <f aca="false">ROUND(D9*'⚙️ BEÁLLÍTÁSOK'!B41/100,0)*100</f>
        <v>189000</v>
      </c>
      <c r="D9" s="49" t="n">
        <v>175000</v>
      </c>
      <c r="E9" s="52" t="n">
        <f aca="false">ROUND(D9*'⚙️ BEÁLLÍTÁSOK'!B43/100,0)*100</f>
        <v>162800</v>
      </c>
      <c r="F9" s="53" t="n">
        <f aca="false">ROUND((B9-E9)*12,0)</f>
        <v>460800</v>
      </c>
      <c r="G9" s="54"/>
    </row>
    <row r="10" customFormat="false" ht="21.75" hidden="false" customHeight="true" outlineLevel="0" collapsed="false">
      <c r="A10" s="21" t="s">
        <v>449</v>
      </c>
      <c r="B10" s="48" t="n">
        <f aca="false">ROUND(D10*'⚙️ BEÁLLÍTÁSOK'!B40/100,0)*100</f>
        <v>28700</v>
      </c>
      <c r="C10" s="48" t="n">
        <f aca="false">ROUND(D10*'⚙️ BEÁLLÍTÁSOK'!B41/100,0)*100</f>
        <v>27000</v>
      </c>
      <c r="D10" s="49" t="n">
        <v>25000</v>
      </c>
      <c r="E10" s="48" t="n">
        <f aca="false">ROUND(D10*'⚙️ BEÁLLÍTÁSOK'!B43/100,0)*100</f>
        <v>23300</v>
      </c>
      <c r="F10" s="50" t="n">
        <f aca="false">ROUND((B10-E10)*12,0)</f>
        <v>64800</v>
      </c>
      <c r="G10" s="51"/>
    </row>
    <row r="11" customFormat="false" ht="21.75" hidden="false" customHeight="true" outlineLevel="0" collapsed="false">
      <c r="A11" s="19" t="s">
        <v>450</v>
      </c>
      <c r="B11" s="19"/>
      <c r="C11" s="19"/>
      <c r="D11" s="19"/>
      <c r="E11" s="19"/>
      <c r="F11" s="19"/>
      <c r="G11" s="19"/>
    </row>
    <row r="12" customFormat="false" ht="21.75" hidden="false" customHeight="true" outlineLevel="0" collapsed="false">
      <c r="A12" s="21" t="s">
        <v>245</v>
      </c>
      <c r="B12" s="48" t="n">
        <f aca="false">ROUND(D12*'⚙️ BEÁLLÍTÁSOK'!B40/100,0)*100</f>
        <v>161000</v>
      </c>
      <c r="C12" s="48" t="n">
        <f aca="false">ROUND(D12*'⚙️ BEÁLLÍTÁSOK'!B41/100,0)*100</f>
        <v>151200</v>
      </c>
      <c r="D12" s="49" t="n">
        <v>140000</v>
      </c>
      <c r="E12" s="48" t="n">
        <f aca="false">ROUND(D12*'⚙️ BEÁLLÍTÁSOK'!B43/100,0)*100</f>
        <v>130200</v>
      </c>
      <c r="F12" s="50" t="n">
        <f aca="false">ROUND((B12-E12)*12,0)</f>
        <v>369600</v>
      </c>
      <c r="G12" s="51" t="s">
        <v>451</v>
      </c>
    </row>
    <row r="13" customFormat="false" ht="21.75" hidden="false" customHeight="true" outlineLevel="0" collapsed="false">
      <c r="A13" s="27" t="s">
        <v>452</v>
      </c>
      <c r="B13" s="52" t="n">
        <f aca="false">ROUND(D13*'⚙️ BEÁLLÍTÁSOK'!B40/100,0)*100</f>
        <v>51700</v>
      </c>
      <c r="C13" s="52" t="n">
        <f aca="false">ROUND(D13*'⚙️ BEÁLLÍTÁSOK'!B41/100,0)*100</f>
        <v>48600</v>
      </c>
      <c r="D13" s="49" t="n">
        <v>45000</v>
      </c>
      <c r="E13" s="52" t="n">
        <f aca="false">ROUND(D13*'⚙️ BEÁLLÍTÁSOK'!B43/100,0)*100</f>
        <v>41900</v>
      </c>
      <c r="F13" s="53" t="n">
        <f aca="false">ROUND((B13-E13)*12,0)</f>
        <v>117600</v>
      </c>
      <c r="G13" s="54"/>
    </row>
    <row r="14" customFormat="false" ht="21.75" hidden="false" customHeight="true" outlineLevel="0" collapsed="false">
      <c r="A14" s="19" t="s">
        <v>453</v>
      </c>
      <c r="B14" s="19"/>
      <c r="C14" s="19"/>
      <c r="D14" s="19"/>
      <c r="E14" s="19"/>
      <c r="F14" s="19"/>
      <c r="G14" s="19"/>
    </row>
    <row r="15" customFormat="false" ht="21.75" hidden="false" customHeight="true" outlineLevel="0" collapsed="false">
      <c r="A15" s="21" t="s">
        <v>454</v>
      </c>
      <c r="B15" s="48" t="n">
        <f aca="false">ROUND(D15*'⚙️ BEÁLLÍTÁSOK'!B40/100,0)*100</f>
        <v>16100</v>
      </c>
      <c r="C15" s="48" t="n">
        <f aca="false">ROUND(D15*'⚙️ BEÁLLÍTÁSOK'!B41/100,0)*100</f>
        <v>15100</v>
      </c>
      <c r="D15" s="49" t="n">
        <v>14000</v>
      </c>
      <c r="E15" s="48" t="n">
        <f aca="false">ROUND(D15*'⚙️ BEÁLLÍTÁSOK'!B43/100,0)*100</f>
        <v>13000</v>
      </c>
      <c r="F15" s="50" t="n">
        <f aca="false">ROUND((B15-E15)*12,0)</f>
        <v>37200</v>
      </c>
      <c r="G15" s="51" t="s">
        <v>455</v>
      </c>
    </row>
    <row r="16" customFormat="false" ht="21.75" hidden="false" customHeight="true" outlineLevel="0" collapsed="false">
      <c r="A16" s="27" t="s">
        <v>456</v>
      </c>
      <c r="B16" s="52" t="n">
        <f aca="false">ROUND(D16*'⚙️ BEÁLLÍTÁSOK'!B40/100,0)*100</f>
        <v>12600</v>
      </c>
      <c r="C16" s="52" t="n">
        <f aca="false">ROUND(D16*'⚙️ BEÁLLÍTÁSOK'!B41/100,0)*100</f>
        <v>11900</v>
      </c>
      <c r="D16" s="49" t="n">
        <v>11000</v>
      </c>
      <c r="E16" s="52" t="n">
        <f aca="false">ROUND(D16*'⚙️ BEÁLLÍTÁSOK'!B43/100,0)*100</f>
        <v>10200</v>
      </c>
      <c r="F16" s="53" t="n">
        <f aca="false">ROUND((B16-E16)*12,0)</f>
        <v>28800</v>
      </c>
      <c r="G16" s="54"/>
    </row>
    <row r="17" customFormat="false" ht="21.75" hidden="false" customHeight="true" outlineLevel="0" collapsed="false">
      <c r="A17" s="21" t="s">
        <v>457</v>
      </c>
      <c r="B17" s="48" t="n">
        <f aca="false">ROUND(D17*'⚙️ BEÁLLÍTÁSOK'!B40/100,0)*100</f>
        <v>25300</v>
      </c>
      <c r="C17" s="48" t="n">
        <f aca="false">ROUND(D17*'⚙️ BEÁLLÍTÁSOK'!B41/100,0)*100</f>
        <v>23800</v>
      </c>
      <c r="D17" s="49" t="n">
        <v>22000</v>
      </c>
      <c r="E17" s="48" t="n">
        <f aca="false">ROUND(D17*'⚙️ BEÁLLÍTÁSOK'!B43/100,0)*100</f>
        <v>20500</v>
      </c>
      <c r="F17" s="50" t="n">
        <f aca="false">ROUND((B17-E17)*12,0)</f>
        <v>57600</v>
      </c>
      <c r="G17" s="51"/>
    </row>
    <row r="18" customFormat="false" ht="21.75" hidden="false" customHeight="true" outlineLevel="0" collapsed="false">
      <c r="A18" s="19" t="s">
        <v>458</v>
      </c>
      <c r="B18" s="19"/>
      <c r="C18" s="19"/>
      <c r="D18" s="19"/>
      <c r="E18" s="19"/>
      <c r="F18" s="19"/>
      <c r="G18" s="19"/>
    </row>
    <row r="19" customFormat="false" ht="21.75" hidden="false" customHeight="true" outlineLevel="0" collapsed="false">
      <c r="A19" s="21" t="s">
        <v>459</v>
      </c>
      <c r="B19" s="48" t="n">
        <f aca="false">ROUND(D19*'⚙️ BEÁLLÍTÁSOK'!B40/100,0)*100</f>
        <v>20700</v>
      </c>
      <c r="C19" s="48" t="n">
        <f aca="false">ROUND(D19*'⚙️ BEÁLLÍTÁSOK'!B41/100,0)*100</f>
        <v>19400</v>
      </c>
      <c r="D19" s="49" t="n">
        <v>18000</v>
      </c>
      <c r="E19" s="48" t="n">
        <f aca="false">ROUND(D19*'⚙️ BEÁLLÍTÁSOK'!B43/100,0)*100</f>
        <v>16700</v>
      </c>
      <c r="F19" s="50" t="n">
        <f aca="false">ROUND((B19-E19)*12,0)</f>
        <v>48000</v>
      </c>
      <c r="G19" s="51"/>
    </row>
    <row r="20" customFormat="false" ht="21.75" hidden="false" customHeight="true" outlineLevel="0" collapsed="false">
      <c r="A20" s="27" t="s">
        <v>460</v>
      </c>
      <c r="B20" s="52" t="n">
        <f aca="false">ROUND(D20*'⚙️ BEÁLLÍTÁSOK'!B40/100,0)*100</f>
        <v>29900</v>
      </c>
      <c r="C20" s="52" t="n">
        <f aca="false">ROUND(D20*'⚙️ BEÁLLÍTÁSOK'!B41/100,0)*100</f>
        <v>28100</v>
      </c>
      <c r="D20" s="49" t="n">
        <v>26000</v>
      </c>
      <c r="E20" s="52" t="n">
        <f aca="false">ROUND(D20*'⚙️ BEÁLLÍTÁSOK'!B43/100,0)*100</f>
        <v>24200</v>
      </c>
      <c r="F20" s="53" t="n">
        <f aca="false">ROUND((B20-E20)*12,0)</f>
        <v>68400</v>
      </c>
      <c r="G20" s="54"/>
    </row>
    <row r="21" customFormat="false" ht="21.75" hidden="false" customHeight="true" outlineLevel="0" collapsed="false">
      <c r="A21" s="19" t="s">
        <v>461</v>
      </c>
      <c r="B21" s="19"/>
      <c r="C21" s="19"/>
      <c r="D21" s="19"/>
      <c r="E21" s="19"/>
      <c r="F21" s="19"/>
      <c r="G21" s="19"/>
    </row>
    <row r="22" customFormat="false" ht="21.75" hidden="false" customHeight="true" outlineLevel="0" collapsed="false">
      <c r="A22" s="21" t="s">
        <v>462</v>
      </c>
      <c r="B22" s="48" t="n">
        <f aca="false">ROUND(D22*'⚙️ BEÁLLÍTÁSOK'!B40/100,0)*100</f>
        <v>124200</v>
      </c>
      <c r="C22" s="48" t="n">
        <f aca="false">ROUND(D22*'⚙️ BEÁLLÍTÁSOK'!B41/100,0)*100</f>
        <v>116600</v>
      </c>
      <c r="D22" s="49" t="n">
        <v>108000</v>
      </c>
      <c r="E22" s="48" t="n">
        <f aca="false">ROUND(D22*'⚙️ BEÁLLÍTÁSOK'!B43/100,0)*100</f>
        <v>100400</v>
      </c>
      <c r="F22" s="50" t="n">
        <f aca="false">ROUND((B22-E22)*12,0)</f>
        <v>285600</v>
      </c>
      <c r="G22" s="51" t="s">
        <v>463</v>
      </c>
    </row>
    <row r="23" customFormat="false" ht="21.75" hidden="false" customHeight="true" outlineLevel="0" collapsed="false">
      <c r="A23" s="27" t="s">
        <v>464</v>
      </c>
      <c r="B23" s="52" t="n">
        <f aca="false">ROUND(D23*'⚙️ BEÁLLÍTÁSOK'!B40/100,0)*100</f>
        <v>270300</v>
      </c>
      <c r="C23" s="52" t="n">
        <f aca="false">ROUND(D23*'⚙️ BEÁLLÍTÁSOK'!B41/100,0)*100</f>
        <v>253800</v>
      </c>
      <c r="D23" s="49" t="n">
        <v>235000</v>
      </c>
      <c r="E23" s="52" t="n">
        <f aca="false">ROUND(D23*'⚙️ BEÁLLÍTÁSOK'!B43/100,0)*100</f>
        <v>218600</v>
      </c>
      <c r="F23" s="53" t="n">
        <f aca="false">ROUND((B23-E23)*12,0)</f>
        <v>620400</v>
      </c>
      <c r="G23" s="54"/>
    </row>
    <row r="25" customFormat="false" ht="21.75" hidden="false" customHeight="true" outlineLevel="0" collapsed="false">
      <c r="A25" s="19" t="s">
        <v>465</v>
      </c>
      <c r="B25" s="19"/>
      <c r="C25" s="19"/>
      <c r="D25" s="19"/>
      <c r="E25" s="19"/>
      <c r="F25" s="19"/>
      <c r="G25" s="19"/>
    </row>
    <row r="26" customFormat="false" ht="24" hidden="false" customHeight="true" outlineLevel="0" collapsed="false">
      <c r="A26" s="55" t="s">
        <v>466</v>
      </c>
      <c r="B26" s="56" t="s">
        <v>467</v>
      </c>
      <c r="C26" s="56" t="s">
        <v>468</v>
      </c>
      <c r="D26" s="56" t="s">
        <v>469</v>
      </c>
      <c r="E26" s="56" t="s">
        <v>470</v>
      </c>
    </row>
    <row r="27" customFormat="false" ht="21.75" hidden="false" customHeight="true" outlineLevel="0" collapsed="false">
      <c r="A27" s="57" t="s">
        <v>471</v>
      </c>
      <c r="B27" s="57" t="s">
        <v>472</v>
      </c>
      <c r="C27" s="57" t="s">
        <v>473</v>
      </c>
      <c r="D27" s="57" t="s">
        <v>474</v>
      </c>
      <c r="E27" s="57" t="s">
        <v>474</v>
      </c>
    </row>
    <row r="28" customFormat="false" ht="21.75" hidden="false" customHeight="true" outlineLevel="0" collapsed="false">
      <c r="A28" s="58" t="s">
        <v>475</v>
      </c>
      <c r="B28" s="58" t="s">
        <v>476</v>
      </c>
      <c r="C28" s="58" t="s">
        <v>477</v>
      </c>
      <c r="D28" s="58" t="s">
        <v>474</v>
      </c>
      <c r="E28" s="58" t="s">
        <v>474</v>
      </c>
    </row>
    <row r="29" customFormat="false" ht="21.75" hidden="false" customHeight="true" outlineLevel="0" collapsed="false">
      <c r="A29" s="57" t="s">
        <v>478</v>
      </c>
      <c r="B29" s="57" t="s">
        <v>476</v>
      </c>
      <c r="C29" s="57" t="s">
        <v>479</v>
      </c>
      <c r="D29" s="57" t="s">
        <v>480</v>
      </c>
      <c r="E29" s="57" t="s">
        <v>481</v>
      </c>
    </row>
    <row r="30" customFormat="false" ht="21.75" hidden="false" customHeight="true" outlineLevel="0" collapsed="false">
      <c r="A30" s="58" t="s">
        <v>482</v>
      </c>
      <c r="B30" s="58" t="s">
        <v>483</v>
      </c>
      <c r="C30" s="58" t="s">
        <v>484</v>
      </c>
      <c r="D30" s="58" t="s">
        <v>485</v>
      </c>
      <c r="E30" s="58" t="s">
        <v>486</v>
      </c>
    </row>
  </sheetData>
  <mergeCells count="8">
    <mergeCell ref="A1:G1"/>
    <mergeCell ref="A2:G2"/>
    <mergeCell ref="A5:G5"/>
    <mergeCell ref="A11:G11"/>
    <mergeCell ref="A14:G14"/>
    <mergeCell ref="A18:G18"/>
    <mergeCell ref="A21:G21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6" min="4" style="0" width="14"/>
  </cols>
  <sheetData>
    <row r="1" customFormat="false" ht="33.75" hidden="false" customHeight="true" outlineLevel="0" collapsed="false">
      <c r="A1" s="1" t="s">
        <v>487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488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19" t="s">
        <v>489</v>
      </c>
      <c r="B4" s="19"/>
      <c r="C4" s="19"/>
      <c r="D4" s="19"/>
      <c r="E4" s="19"/>
      <c r="F4" s="19"/>
    </row>
    <row r="5" customFormat="false" ht="19.5" hidden="false" customHeight="true" outlineLevel="0" collapsed="false">
      <c r="A5" s="5" t="s">
        <v>490</v>
      </c>
      <c r="B5" s="59"/>
      <c r="C5" s="59"/>
      <c r="D5" s="59"/>
      <c r="E5" s="59"/>
      <c r="F5" s="59"/>
    </row>
    <row r="6" customFormat="false" ht="19.5" hidden="false" customHeight="true" outlineLevel="0" collapsed="false">
      <c r="A6" s="8" t="s">
        <v>491</v>
      </c>
      <c r="B6" s="59" t="s">
        <v>492</v>
      </c>
      <c r="C6" s="59"/>
      <c r="D6" s="59"/>
      <c r="E6" s="59"/>
      <c r="F6" s="59"/>
    </row>
    <row r="7" customFormat="false" ht="19.5" hidden="false" customHeight="true" outlineLevel="0" collapsed="false">
      <c r="A7" s="5" t="s">
        <v>493</v>
      </c>
      <c r="B7" s="59" t="s">
        <v>494</v>
      </c>
      <c r="C7" s="59"/>
      <c r="D7" s="59"/>
      <c r="E7" s="59"/>
      <c r="F7" s="59"/>
    </row>
    <row r="8" customFormat="false" ht="19.5" hidden="false" customHeight="true" outlineLevel="0" collapsed="false">
      <c r="A8" s="8" t="s">
        <v>495</v>
      </c>
      <c r="B8" s="59"/>
      <c r="C8" s="59"/>
      <c r="D8" s="59"/>
      <c r="E8" s="59"/>
      <c r="F8" s="59"/>
    </row>
    <row r="9" customFormat="false" ht="19.5" hidden="false" customHeight="true" outlineLevel="0" collapsed="false">
      <c r="A9" s="5" t="s">
        <v>496</v>
      </c>
      <c r="B9" s="59"/>
      <c r="C9" s="59"/>
      <c r="D9" s="59"/>
      <c r="E9" s="59"/>
      <c r="F9" s="59"/>
    </row>
    <row r="10" customFormat="false" ht="19.5" hidden="false" customHeight="true" outlineLevel="0" collapsed="false">
      <c r="A10" s="8" t="s">
        <v>497</v>
      </c>
      <c r="B10" s="59" t="n">
        <v>30</v>
      </c>
      <c r="C10" s="59"/>
      <c r="D10" s="59"/>
      <c r="E10" s="59"/>
      <c r="F10" s="59"/>
    </row>
    <row r="12" customFormat="false" ht="21.75" hidden="false" customHeight="true" outlineLevel="0" collapsed="false">
      <c r="A12" s="19" t="s">
        <v>498</v>
      </c>
      <c r="B12" s="19"/>
      <c r="C12" s="19"/>
      <c r="D12" s="19"/>
      <c r="E12" s="19"/>
      <c r="F12" s="19"/>
    </row>
    <row r="13" customFormat="false" ht="19.5" hidden="false" customHeight="true" outlineLevel="0" collapsed="false">
      <c r="A13" s="5" t="s">
        <v>499</v>
      </c>
      <c r="B13" s="60" t="n">
        <v>1</v>
      </c>
      <c r="C13" s="61" t="s">
        <v>500</v>
      </c>
      <c r="D13" s="61"/>
      <c r="E13" s="61"/>
      <c r="F13" s="61"/>
    </row>
    <row r="14" customFormat="false" ht="19.5" hidden="false" customHeight="true" outlineLevel="0" collapsed="false">
      <c r="A14" s="8" t="s">
        <v>501</v>
      </c>
      <c r="B14" s="60" t="n">
        <v>1</v>
      </c>
      <c r="C14" s="61" t="s">
        <v>502</v>
      </c>
      <c r="D14" s="61"/>
      <c r="E14" s="61"/>
      <c r="F14" s="61"/>
    </row>
    <row r="16" customFormat="false" ht="21.75" hidden="false" customHeight="true" outlineLevel="0" collapsed="false">
      <c r="A16" s="19" t="s">
        <v>503</v>
      </c>
      <c r="B16" s="19"/>
      <c r="C16" s="19"/>
      <c r="D16" s="19"/>
      <c r="E16" s="19"/>
      <c r="F16" s="19"/>
    </row>
    <row r="17" customFormat="false" ht="30" hidden="false" customHeight="true" outlineLevel="0" collapsed="false">
      <c r="A17" s="16" t="s">
        <v>504</v>
      </c>
      <c r="B17" s="16" t="s">
        <v>66</v>
      </c>
      <c r="C17" s="16" t="s">
        <v>505</v>
      </c>
      <c r="D17" s="16" t="s">
        <v>506</v>
      </c>
      <c r="E17" s="16" t="s">
        <v>507</v>
      </c>
      <c r="F17" s="16" t="s">
        <v>508</v>
      </c>
    </row>
    <row r="18" customFormat="false" ht="19.5" hidden="false" customHeight="true" outlineLevel="0" collapsed="false">
      <c r="A18" s="62"/>
      <c r="B18" s="63"/>
      <c r="C18" s="63"/>
      <c r="D18" s="63"/>
      <c r="E18" s="64" t="n">
        <f aca="false">$B$13*$B$14</f>
        <v>1</v>
      </c>
      <c r="F18" s="65" t="str">
        <f aca="false">IF(OR(D18="",C18=""),"",ROUND(C18*D18*E18/100,0)*100)</f>
        <v/>
      </c>
    </row>
    <row r="19" customFormat="false" ht="19.5" hidden="false" customHeight="true" outlineLevel="0" collapsed="false">
      <c r="A19" s="62"/>
      <c r="B19" s="63"/>
      <c r="C19" s="63"/>
      <c r="D19" s="63"/>
      <c r="E19" s="66" t="n">
        <f aca="false">$B$13*$B$14</f>
        <v>1</v>
      </c>
      <c r="F19" s="67" t="str">
        <f aca="false">IF(OR(D19="",C19=""),"",ROUND(C19*D19*E19/100,0)*100)</f>
        <v/>
      </c>
    </row>
    <row r="20" customFormat="false" ht="19.5" hidden="false" customHeight="true" outlineLevel="0" collapsed="false">
      <c r="A20" s="62"/>
      <c r="B20" s="63"/>
      <c r="C20" s="63"/>
      <c r="D20" s="63"/>
      <c r="E20" s="64" t="n">
        <f aca="false">$B$13*$B$14</f>
        <v>1</v>
      </c>
      <c r="F20" s="65" t="str">
        <f aca="false">IF(OR(D20="",C20=""),"",ROUND(C20*D20*E20/100,0)*100)</f>
        <v/>
      </c>
    </row>
    <row r="21" customFormat="false" ht="19.5" hidden="false" customHeight="true" outlineLevel="0" collapsed="false">
      <c r="A21" s="62"/>
      <c r="B21" s="63"/>
      <c r="C21" s="63"/>
      <c r="D21" s="63"/>
      <c r="E21" s="66" t="n">
        <f aca="false">$B$13*$B$14</f>
        <v>1</v>
      </c>
      <c r="F21" s="67" t="str">
        <f aca="false">IF(OR(D21="",C21=""),"",ROUND(C21*D21*E21/100,0)*100)</f>
        <v/>
      </c>
    </row>
    <row r="22" customFormat="false" ht="19.5" hidden="false" customHeight="true" outlineLevel="0" collapsed="false">
      <c r="A22" s="62"/>
      <c r="B22" s="63"/>
      <c r="C22" s="63"/>
      <c r="D22" s="63"/>
      <c r="E22" s="64" t="n">
        <f aca="false">$B$13*$B$14</f>
        <v>1</v>
      </c>
      <c r="F22" s="65" t="str">
        <f aca="false">IF(OR(D22="",C22=""),"",ROUND(C22*D22*E22/100,0)*100)</f>
        <v/>
      </c>
    </row>
    <row r="23" customFormat="false" ht="19.5" hidden="false" customHeight="true" outlineLevel="0" collapsed="false">
      <c r="A23" s="62"/>
      <c r="B23" s="63"/>
      <c r="C23" s="63"/>
      <c r="D23" s="63"/>
      <c r="E23" s="66" t="n">
        <f aca="false">$B$13*$B$14</f>
        <v>1</v>
      </c>
      <c r="F23" s="67" t="str">
        <f aca="false">IF(OR(D23="",C23=""),"",ROUND(C23*D23*E23/100,0)*100)</f>
        <v/>
      </c>
    </row>
    <row r="24" customFormat="false" ht="19.5" hidden="false" customHeight="true" outlineLevel="0" collapsed="false">
      <c r="A24" s="62"/>
      <c r="B24" s="63"/>
      <c r="C24" s="63"/>
      <c r="D24" s="63"/>
      <c r="E24" s="64" t="n">
        <f aca="false">$B$13*$B$14</f>
        <v>1</v>
      </c>
      <c r="F24" s="65" t="str">
        <f aca="false">IF(OR(D24="",C24=""),"",ROUND(C24*D24*E24/100,0)*100)</f>
        <v/>
      </c>
    </row>
    <row r="25" customFormat="false" ht="19.5" hidden="false" customHeight="true" outlineLevel="0" collapsed="false">
      <c r="A25" s="62"/>
      <c r="B25" s="63"/>
      <c r="C25" s="63"/>
      <c r="D25" s="63"/>
      <c r="E25" s="66" t="n">
        <f aca="false">$B$13*$B$14</f>
        <v>1</v>
      </c>
      <c r="F25" s="67" t="str">
        <f aca="false">IF(OR(D25="",C25=""),"",ROUND(C25*D25*E25/100,0)*100)</f>
        <v/>
      </c>
    </row>
    <row r="26" customFormat="false" ht="19.5" hidden="false" customHeight="true" outlineLevel="0" collapsed="false">
      <c r="A26" s="62"/>
      <c r="B26" s="63"/>
      <c r="C26" s="63"/>
      <c r="D26" s="63"/>
      <c r="E26" s="64" t="n">
        <f aca="false">$B$13*$B$14</f>
        <v>1</v>
      </c>
      <c r="F26" s="65" t="str">
        <f aca="false">IF(OR(D26="",C26=""),"",ROUND(C26*D26*E26/100,0)*100)</f>
        <v/>
      </c>
    </row>
    <row r="27" customFormat="false" ht="19.5" hidden="false" customHeight="true" outlineLevel="0" collapsed="false">
      <c r="A27" s="62"/>
      <c r="B27" s="63"/>
      <c r="C27" s="63"/>
      <c r="D27" s="63"/>
      <c r="E27" s="66" t="n">
        <f aca="false">$B$13*$B$14</f>
        <v>1</v>
      </c>
      <c r="F27" s="67" t="str">
        <f aca="false">IF(OR(D27="",C27=""),"",ROUND(C27*D27*E27/100,0)*100)</f>
        <v/>
      </c>
    </row>
    <row r="28" customFormat="false" ht="19.5" hidden="false" customHeight="true" outlineLevel="0" collapsed="false">
      <c r="A28" s="62"/>
      <c r="B28" s="63"/>
      <c r="C28" s="63"/>
      <c r="D28" s="63"/>
      <c r="E28" s="64" t="n">
        <f aca="false">$B$13*$B$14</f>
        <v>1</v>
      </c>
      <c r="F28" s="65" t="str">
        <f aca="false">IF(OR(D28="",C28=""),"",ROUND(C28*D28*E28/100,0)*100)</f>
        <v/>
      </c>
    </row>
    <row r="29" customFormat="false" ht="19.5" hidden="false" customHeight="true" outlineLevel="0" collapsed="false">
      <c r="A29" s="62"/>
      <c r="B29" s="63"/>
      <c r="C29" s="63"/>
      <c r="D29" s="63"/>
      <c r="E29" s="66" t="n">
        <f aca="false">$B$13*$B$14</f>
        <v>1</v>
      </c>
      <c r="F29" s="67" t="str">
        <f aca="false">IF(OR(D29="",C29=""),"",ROUND(C29*D29*E29/100,0)*100)</f>
        <v/>
      </c>
    </row>
    <row r="30" customFormat="false" ht="19.5" hidden="false" customHeight="true" outlineLevel="0" collapsed="false">
      <c r="A30" s="62"/>
      <c r="B30" s="63"/>
      <c r="C30" s="63"/>
      <c r="D30" s="63"/>
      <c r="E30" s="64" t="n">
        <f aca="false">$B$13*$B$14</f>
        <v>1</v>
      </c>
      <c r="F30" s="65" t="str">
        <f aca="false">IF(OR(D30="",C30=""),"",ROUND(C30*D30*E30/100,0)*100)</f>
        <v/>
      </c>
    </row>
    <row r="31" customFormat="false" ht="19.5" hidden="false" customHeight="true" outlineLevel="0" collapsed="false">
      <c r="A31" s="62"/>
      <c r="B31" s="63"/>
      <c r="C31" s="63"/>
      <c r="D31" s="63"/>
      <c r="E31" s="66" t="n">
        <f aca="false">$B$13*$B$14</f>
        <v>1</v>
      </c>
      <c r="F31" s="67" t="str">
        <f aca="false">IF(OR(D31="",C31=""),"",ROUND(C31*D31*E31/100,0)*100)</f>
        <v/>
      </c>
    </row>
    <row r="32" customFormat="false" ht="19.5" hidden="false" customHeight="true" outlineLevel="0" collapsed="false">
      <c r="A32" s="62"/>
      <c r="B32" s="63"/>
      <c r="C32" s="63"/>
      <c r="D32" s="63"/>
      <c r="E32" s="64" t="n">
        <f aca="false">$B$13*$B$14</f>
        <v>1</v>
      </c>
      <c r="F32" s="65" t="str">
        <f aca="false">IF(OR(D32="",C32=""),"",ROUND(C32*D32*E32/100,0)*100)</f>
        <v/>
      </c>
    </row>
    <row r="33" customFormat="false" ht="19.5" hidden="false" customHeight="true" outlineLevel="0" collapsed="false">
      <c r="A33" s="62"/>
      <c r="B33" s="63"/>
      <c r="C33" s="63"/>
      <c r="D33" s="63"/>
      <c r="E33" s="66" t="n">
        <f aca="false">$B$13*$B$14</f>
        <v>1</v>
      </c>
      <c r="F33" s="67" t="str">
        <f aca="false">IF(OR(D33="",C33=""),"",ROUND(C33*D33*E33/100,0)*100)</f>
        <v/>
      </c>
    </row>
    <row r="34" customFormat="false" ht="19.5" hidden="false" customHeight="true" outlineLevel="0" collapsed="false">
      <c r="A34" s="62"/>
      <c r="B34" s="63"/>
      <c r="C34" s="63"/>
      <c r="D34" s="63"/>
      <c r="E34" s="64" t="n">
        <f aca="false">$B$13*$B$14</f>
        <v>1</v>
      </c>
      <c r="F34" s="65" t="str">
        <f aca="false">IF(OR(D34="",C34=""),"",ROUND(C34*D34*E34/100,0)*100)</f>
        <v/>
      </c>
    </row>
    <row r="35" customFormat="false" ht="19.5" hidden="false" customHeight="true" outlineLevel="0" collapsed="false">
      <c r="A35" s="62"/>
      <c r="B35" s="63"/>
      <c r="C35" s="63"/>
      <c r="D35" s="63"/>
      <c r="E35" s="66" t="n">
        <f aca="false">$B$13*$B$14</f>
        <v>1</v>
      </c>
      <c r="F35" s="67" t="str">
        <f aca="false">IF(OR(D35="",C35=""),"",ROUND(C35*D35*E35/100,0)*100)</f>
        <v/>
      </c>
    </row>
    <row r="36" customFormat="false" ht="19.5" hidden="false" customHeight="true" outlineLevel="0" collapsed="false">
      <c r="A36" s="62"/>
      <c r="B36" s="63"/>
      <c r="C36" s="63"/>
      <c r="D36" s="63"/>
      <c r="E36" s="64" t="n">
        <f aca="false">$B$13*$B$14</f>
        <v>1</v>
      </c>
      <c r="F36" s="65" t="str">
        <f aca="false">IF(OR(D36="",C36=""),"",ROUND(C36*D36*E36/100,0)*100)</f>
        <v/>
      </c>
    </row>
    <row r="37" customFormat="false" ht="19.5" hidden="false" customHeight="true" outlineLevel="0" collapsed="false">
      <c r="A37" s="62"/>
      <c r="B37" s="63"/>
      <c r="C37" s="63"/>
      <c r="D37" s="63"/>
      <c r="E37" s="66" t="n">
        <f aca="false">$B$13*$B$14</f>
        <v>1</v>
      </c>
      <c r="F37" s="67" t="str">
        <f aca="false">IF(OR(D37="",C37=""),"",ROUND(C37*D37*E37/100,0)*100)</f>
        <v/>
      </c>
    </row>
    <row r="38" customFormat="false" ht="19.5" hidden="false" customHeight="true" outlineLevel="0" collapsed="false">
      <c r="A38" s="62"/>
      <c r="B38" s="63"/>
      <c r="C38" s="63"/>
      <c r="D38" s="63"/>
      <c r="E38" s="64" t="n">
        <f aca="false">$B$13*$B$14</f>
        <v>1</v>
      </c>
      <c r="F38" s="65" t="str">
        <f aca="false">IF(OR(D38="",C38=""),"",ROUND(C38*D38*E38/100,0)*100)</f>
        <v/>
      </c>
    </row>
    <row r="39" customFormat="false" ht="19.5" hidden="false" customHeight="true" outlineLevel="0" collapsed="false">
      <c r="A39" s="62"/>
      <c r="B39" s="63"/>
      <c r="C39" s="63"/>
      <c r="D39" s="63"/>
      <c r="E39" s="66" t="n">
        <f aca="false">$B$13*$B$14</f>
        <v>1</v>
      </c>
      <c r="F39" s="67" t="str">
        <f aca="false">IF(OR(D39="",C39=""),"",ROUND(C39*D39*E39/100,0)*100)</f>
        <v/>
      </c>
    </row>
    <row r="40" customFormat="false" ht="19.5" hidden="false" customHeight="true" outlineLevel="0" collapsed="false">
      <c r="A40" s="62"/>
      <c r="B40" s="63"/>
      <c r="C40" s="63"/>
      <c r="D40" s="63"/>
      <c r="E40" s="64" t="n">
        <f aca="false">$B$13*$B$14</f>
        <v>1</v>
      </c>
      <c r="F40" s="65" t="str">
        <f aca="false">IF(OR(D40="",C40=""),"",ROUND(C40*D40*E40/100,0)*100)</f>
        <v/>
      </c>
    </row>
    <row r="41" customFormat="false" ht="19.5" hidden="false" customHeight="true" outlineLevel="0" collapsed="false">
      <c r="A41" s="62"/>
      <c r="B41" s="63"/>
      <c r="C41" s="63"/>
      <c r="D41" s="63"/>
      <c r="E41" s="66" t="n">
        <f aca="false">$B$13*$B$14</f>
        <v>1</v>
      </c>
      <c r="F41" s="67" t="str">
        <f aca="false">IF(OR(D41="",C41=""),"",ROUND(C41*D41*E41/100,0)*100)</f>
        <v/>
      </c>
    </row>
    <row r="42" customFormat="false" ht="19.5" hidden="false" customHeight="true" outlineLevel="0" collapsed="false">
      <c r="A42" s="62"/>
      <c r="B42" s="63"/>
      <c r="C42" s="63"/>
      <c r="D42" s="63"/>
      <c r="E42" s="64" t="n">
        <f aca="false">$B$13*$B$14</f>
        <v>1</v>
      </c>
      <c r="F42" s="65" t="str">
        <f aca="false">IF(OR(D42="",C42=""),"",ROUND(C42*D42*E42/100,0)*100)</f>
        <v/>
      </c>
    </row>
    <row r="44" customFormat="false" ht="6" hidden="false" customHeight="true" outlineLevel="0" collapsed="false"/>
    <row r="45" customFormat="false" ht="25.5" hidden="false" customHeight="true" outlineLevel="0" collapsed="false">
      <c r="A45" s="68" t="s">
        <v>509</v>
      </c>
      <c r="B45" s="68"/>
      <c r="C45" s="68"/>
      <c r="D45" s="68"/>
      <c r="E45" s="68"/>
      <c r="F45" s="69" t="n">
        <f aca="false">SUMIF(F18:F43,"&gt;0")</f>
        <v>0</v>
      </c>
    </row>
    <row r="46" customFormat="false" ht="25.5" hidden="false" customHeight="true" outlineLevel="0" collapsed="false">
      <c r="A46" s="70" t="s">
        <v>510</v>
      </c>
      <c r="B46" s="70"/>
      <c r="C46" s="70"/>
      <c r="D46" s="70"/>
      <c r="E46" s="70"/>
      <c r="F46" s="71"/>
    </row>
    <row r="47" customFormat="false" ht="25.5" hidden="false" customHeight="true" outlineLevel="0" collapsed="false">
      <c r="A47" s="72" t="s">
        <v>511</v>
      </c>
      <c r="B47" s="72"/>
      <c r="C47" s="72"/>
      <c r="D47" s="72"/>
      <c r="E47" s="72"/>
      <c r="F47" s="73" t="str">
        <f aca="false">IF(B46="","",ROUND(B46*'⚙️ BEÁLLÍTÁSOK'!B50,0))</f>
        <v/>
      </c>
    </row>
    <row r="48" customFormat="false" ht="25.5" hidden="false" customHeight="true" outlineLevel="0" collapsed="false">
      <c r="A48" s="68" t="s">
        <v>512</v>
      </c>
      <c r="B48" s="68"/>
      <c r="C48" s="68"/>
      <c r="D48" s="68"/>
      <c r="E48" s="68"/>
      <c r="F48" s="74" t="n">
        <f aca="false">B45+IF(B46="",0,B46)+IF(B47="",0,B47)</f>
        <v>0</v>
      </c>
    </row>
    <row r="49" customFormat="false" ht="25.5" hidden="false" customHeight="true" outlineLevel="0" collapsed="false">
      <c r="A49" s="75" t="s">
        <v>513</v>
      </c>
      <c r="B49" s="75"/>
      <c r="C49" s="75"/>
      <c r="D49" s="75"/>
      <c r="E49" s="75"/>
      <c r="F49" s="76" t="str">
        <f aca="false">IF(B48="","",ROUND(B48*'⚙️ BEÁLLÍTÁSOK'!B62,0))</f>
        <v/>
      </c>
    </row>
    <row r="50" customFormat="false" ht="25.5" hidden="false" customHeight="true" outlineLevel="0" collapsed="false">
      <c r="A50" s="77" t="s">
        <v>514</v>
      </c>
      <c r="B50" s="77"/>
      <c r="C50" s="77"/>
      <c r="D50" s="77"/>
      <c r="E50" s="77"/>
      <c r="F50" s="78" t="str">
        <f aca="false">IF(B48="","",B48+B49)</f>
        <v/>
      </c>
    </row>
  </sheetData>
  <mergeCells count="19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A12:F12"/>
    <mergeCell ref="C13:F13"/>
    <mergeCell ref="C14:F14"/>
    <mergeCell ref="A16:F16"/>
    <mergeCell ref="A45:E45"/>
    <mergeCell ref="A46:E46"/>
    <mergeCell ref="A47:E47"/>
    <mergeCell ref="A48:E48"/>
    <mergeCell ref="A49:E49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2026-06-25T09:19:58Z</dcterms:created>
  <dc:creator>openpyxl</dc:creator>
  <dc:description/>
  <dc:language>en-US</dc:language>
  <cp:lastModifiedBy>Dávid Skoda</cp:lastModifiedBy>
  <dcterms:modified xsi:type="dcterms:W3CDTF">2026-09-02T06:50:53Z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